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b45dc91e2e45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4ceb2a81c6d4761"/>
    <x:sheet xmlns:r="http://schemas.openxmlformats.org/officeDocument/2006/relationships" name="Prices" sheetId="2" r:id="R5d1dee8bb64a4437"/>
    <x:sheet xmlns:r="http://schemas.openxmlformats.org/officeDocument/2006/relationships" name="Returns and Contributions" sheetId="3" r:id="Ree3b62dcade14420"/>
    <x:sheet xmlns:r="http://schemas.openxmlformats.org/officeDocument/2006/relationships" name="Source Audit" sheetId="4" r:id="R9948895027ae4fad"/>
    <x:sheet xmlns:r="http://schemas.openxmlformats.org/officeDocument/2006/relationships" name="Corporate Actions" sheetId="5" r:id="Rfb28306d0b7041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m/dd/yy"/>
    <x:numFmt numFmtId="201" formatCode="000000"/>
    <x:numFmt numFmtId="202" formatCode="#,##0.00;(#,##0.00);&quot;-&quot;"/>
    <x:numFmt numFmtId="203" formatCode="0.00%;(0.00%);&quot;-&quot;"/>
    <x:numFmt numFmtId="204" formatCode="0.00&quot; pp&quot;;(0.00)&quot; pp&quot;;&quot;-&quot;"/>
    <x:numFmt numFmtId="205" formatCode="0.000000000000"/>
    <x:numFmt numFmtId="206" formatCode="yyyy-mm-dd hh:mm:ss"/>
    <x:numFmt numFmtId="207" formatCode="0.0000"/>
  </x:numFmts>
  <x:fonts count="7">
    <x:font>
      <x:sz val="11"/>
      <x:name val="Carlito"/>
    </x:font>
    <x:font>
      <x:sz val="11"/>
      <x:color rgb="FF202A25"/>
      <x:name val="Arial"/>
    </x:font>
    <x:font>
      <x:b/>
      <x:sz val="18"/>
      <x:color rgb="FF202A25"/>
      <x:name val="Arial"/>
    </x:font>
    <x:font>
      <x:sz val="10"/>
      <x:color rgb="FF202A25"/>
      <x:name val="Arial"/>
    </x:font>
    <x:font>
      <x:b/>
      <x:sz val="11"/>
      <x:color rgb="FFFFFFFF"/>
      <x:name val="Arial"/>
    </x:font>
    <x:font>
      <x:sz val="11"/>
      <x:color rgb="FF23804B"/>
      <x:name val="Arial"/>
    </x:font>
    <x:font>
      <x:sz val="11"/>
      <x:color rgb="FF2456A5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24D42"/>
      </x:patternFill>
    </x:fill>
    <x:fill>
      <x:patternFill patternType="solid">
        <x:fgColor rgb="FFEAF0E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3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3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7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6" fontId="1" fillId="3" borderId="0" xfId="0" applyNumberFormat="1" applyFont="1" applyFill="1" applyBorder="1" applyAlignment="1">
      <x:alignment vertical="center" wrapText="1"/>
    </x:xf>
    <x:xf numFmtId="207" fontId="5" fillId="0" borderId="0" xfId="0" applyNumberFormat="1" applyFont="1" applyFill="1" applyBorder="1" applyAlignment="1">
      <x:alignment vertical="center"/>
    </x:xf>
    <x:xf numFmtId="207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d670ad6f2e4c84" /><Relationship Type="http://schemas.openxmlformats.org/officeDocument/2006/relationships/theme" Target="/xl/theme/theme1.xml" Id="Rdbd2e6a3b3bf4948" /><Relationship Type="http://schemas.openxmlformats.org/officeDocument/2006/relationships/sharedStrings" Target="/xl/sharedStrings.xml" Id="R85b1413ab67a43c6" /><Relationship Type="http://schemas.openxmlformats.org/officeDocument/2006/relationships/worksheet" Target="/xl/worksheets/sheet1.xml" Id="R24ceb2a81c6d4761" /><Relationship Type="http://schemas.openxmlformats.org/officeDocument/2006/relationships/worksheet" Target="/xl/worksheets/sheet2.xml" Id="R5d1dee8bb64a4437" /><Relationship Type="http://schemas.openxmlformats.org/officeDocument/2006/relationships/worksheet" Target="/xl/worksheets/sheet3.xml" Id="Ree3b62dcade14420" /><Relationship Type="http://schemas.openxmlformats.org/officeDocument/2006/relationships/worksheet" Target="/xl/worksheets/sheet4.xml" Id="R9948895027ae4fad" /><Relationship Type="http://schemas.openxmlformats.org/officeDocument/2006/relationships/worksheet" Target="/xl/worksheets/sheet5.xml" Id="Rfb28306d0b70413d" /></Relationships>
</file>

<file path=xl/tables/table1.xml><?xml version="1.0" encoding="utf-8"?>
<x:table xmlns:x="http://schemas.openxmlformats.org/spreadsheetml/2006/main" id="1" name="SummaryHistory" displayName="SummaryHistory" ref="A5:T11" headerRowCount="1" totalsRowCount="0" totalsRowShown="0">
  <x:tableColumns count="20">
    <x:tableColumn id="1" name="Date"/>
    <x:tableColumn id="2" name="BSPI15 level"/>
    <x:tableColumn id="3" name="Daily return"/>
    <x:tableColumn id="4" name="Since launch"/>
    <x:tableColumn id="5" name="S&amp;P 500 level"/>
    <x:tableColumn id="6" name="S&amp;P daily"/>
    <x:tableColumn id="7" name="S&amp;P since launch"/>
    <x:tableColumn id="8" name="Nasdaq level"/>
    <x:tableColumn id="9" name="Nasdaq daily"/>
    <x:tableColumn id="10" name="Nasdaq since launch"/>
    <x:tableColumn id="11" name="Daily excess / S&amp;P"/>
    <x:tableColumn id="12" name="Daily excess / Nasdaq"/>
    <x:tableColumn id="13" name="Weight total"/>
    <x:tableColumn id="14" name="Contribution difference"/>
    <x:tableColumn id="15" name="Holiday carries"/>
    <x:tableColumn id="16" name="Source audit"/>
    <x:tableColumn id="17" name="Fetched at (UTC)"/>
    <x:tableColumn id="18" name="Level difference"/>
    <x:tableColumn id="19" name="Since launch excess / S&amp;P"/>
    <x:tableColumn id="20" name="Since launch excess / Nasdaq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PricesHistory" displayName="PricesHistory" ref="A5:K107" headerRowCount="1" totalsRowCount="0" totalsRowShown="0">
  <x:tableColumns count="11">
    <x:tableColumn id="1" name="Date"/>
    <x:tableColumn id="2" name="Company"/>
    <x:tableColumn id="3" name="Ticker"/>
    <x:tableColumn id="4" name="Marketstack symbol"/>
    <x:tableColumn id="5" name="MIC"/>
    <x:tableColumn id="6" name="Currency"/>
    <x:tableColumn id="7" name="Previous close"/>
    <x:tableColumn id="8" name="Close"/>
    <x:tableColumn id="9" name="Launch close"/>
    <x:tableColumn id="10" name="Source date"/>
    <x:tableColumn id="11" name="Market status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turnsandContributionsHistory" displayName="ReturnsandContributionsHistory" ref="A5:H95" headerRowCount="1" totalsRowCount="0" totalsRowShown="0">
  <x:tableColumns count="8">
    <x:tableColumn id="1" name="Date"/>
    <x:tableColumn id="2" name="Company"/>
    <x:tableColumn id="3" name="Ticker"/>
    <x:tableColumn id="4" name="Previous weight"/>
    <x:tableColumn id="5" name="Daily price return"/>
    <x:tableColumn id="6" name="Contribution"/>
    <x:tableColumn id="7" name="Closing weight"/>
    <x:tableColumn id="8" name="Since launch return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SourceAuditHistory" displayName="SourceAuditHistory" ref="A5:L107" headerRowCount="1" totalsRowCount="0" totalsRowShown="0">
  <x:tableColumns count="12">
    <x:tableColumn id="1" name="Date"/>
    <x:tableColumn id="2" name="Ticker"/>
    <x:tableColumn id="3" name="Raw close"/>
    <x:tableColumn id="4" name="Adjusted close"/>
    <x:tableColumn id="5" name="Dividend"/>
    <x:tableColumn id="6" name="Split factor"/>
    <x:tableColumn id="7" name="Expected MIC"/>
    <x:tableColumn id="8" name="Received MIC"/>
    <x:tableColumn id="9" name="Validation"/>
    <x:tableColumn id="10" name="Raw receipt"/>
    <x:tableColumn id="11" name="Exchange calendar"/>
    <x:tableColumn id="12" name="Fetched at (UTC)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CorporateActionsHistory" displayName="CorporateActionsHistory" ref="A5:H107" headerRowCount="1" totalsRowCount="0" totalsRowShown="0">
  <x:tableColumns count="8">
    <x:tableColumn id="1" name="Date"/>
    <x:tableColumn id="2" name="Company"/>
    <x:tableColumn id="3" name="Ticker"/>
    <x:tableColumn id="4" name="Source date"/>
    <x:tableColumn id="5" name="Dividend"/>
    <x:tableColumn id="6" name="Split factor"/>
    <x:tableColumn id="7" name="Provider review"/>
    <x:tableColumn id="8" name="Treatment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22099783ddb40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f923e4047314d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13e34d01b3142e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24fe760f8dd443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cecb59157ad45b5" /></Relationships>
</file>

<file path=xl/worksheets/sheet1.xml><?xml version="1.0" encoding="utf-8"?>
<x:worksheet xmlns:x="http://schemas.openxmlformats.org/spreadsheetml/2006/main">
  <x:sheetPr>
    <x:tabColor rgb="FF324D42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7" hidden="0" customWidth="1"/>
    <x:col min="14" max="14" width="20" hidden="0" customWidth="1"/>
    <x:col min="15" max="15" width="16" hidden="0" customWidth="1"/>
    <x:col min="16" max="16" width="19" hidden="0" customWidth="1"/>
    <x:col min="17" max="17" width="25" hidden="0" customWidth="1"/>
    <x:col min="18" max="18" width="18" hidden="0" customWidth="1"/>
    <x:col min="19" max="19" width="22" hidden="0" customWidth="1"/>
    <x:col min="20" max="20" width="22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7" customHeight="1">
      <x:c r="A2" s="3" t="str">
        <x:v>BSPI15 daily review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7" customHeight="1">
      <x:c r="A3" s="4" t="str">
        <x:v>Launch: October 1, 2026 = 1,000. Benchmark levels are rebased. Excess returns are percentage points.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46" customHeight="1">
      <x:c r="A5" s="7" t="str">
        <x:v>Date</x:v>
      </x:c>
      <x:c r="B5" s="7" t="str">
        <x:v>BSPI15 level</x:v>
      </x:c>
      <x:c r="C5" s="7" t="str">
        <x:v>Daily return</x:v>
      </x:c>
      <x:c r="D5" s="7" t="str">
        <x:v>Since launch</x:v>
      </x:c>
      <x:c r="E5" s="7" t="str">
        <x:v>S&amp;P 500 level</x:v>
      </x:c>
      <x:c r="F5" s="7" t="str">
        <x:v>S&amp;P daily</x:v>
      </x:c>
      <x:c r="G5" s="7" t="str">
        <x:v>S&amp;P since launch</x:v>
      </x:c>
      <x:c r="H5" s="7" t="str">
        <x:v>Nasdaq level</x:v>
      </x:c>
      <x:c r="I5" s="7" t="str">
        <x:v>Nasdaq daily</x:v>
      </x:c>
      <x:c r="J5" s="7" t="str">
        <x:v>Nasdaq since launch</x:v>
      </x:c>
      <x:c r="K5" s="7" t="str">
        <x:v>Daily excess / S&amp;P</x:v>
      </x:c>
      <x:c r="L5" s="7" t="str">
        <x:v>Daily excess / Nasdaq</x:v>
      </x:c>
      <x:c r="M5" s="7" t="str">
        <x:v>Weight total</x:v>
      </x:c>
      <x:c r="N5" s="7" t="str">
        <x:v>Contribution difference</x:v>
      </x:c>
      <x:c r="O5" s="7" t="str">
        <x:v>Holiday carries</x:v>
      </x:c>
      <x:c r="P5" s="7" t="str">
        <x:v>Source audit</x:v>
      </x:c>
      <x:c r="Q5" s="7" t="str">
        <x:v>Fetched at (UTC)</x:v>
      </x:c>
      <x:c r="R5" s="7" t="str">
        <x:v>Level difference</x:v>
      </x:c>
      <x:c r="S5" s="7" t="str">
        <x:v>Since launch excess / S&amp;P</x:v>
      </x:c>
      <x:c r="T5" s="7" t="str">
        <x:v>Since launch excess / Nasdaq</x:v>
      </x:c>
    </x:row>
    <x:row r="6" ht="40" customHeight="1">
      <x:c r="A6" s="8" t="n">
        <x:v>46296</x:v>
      </x:c>
      <x:c r="B6" s="15" t="n">
        <x:f>1000</x:f>
        <x:v>1000</x:v>
      </x:c>
      <x:c r="C6" s="18"/>
      <x:c r="D6" s="18" t="n">
        <x:f>B6/$B$6-1</x:f>
        <x:v>0</x:v>
      </x:c>
      <x:c r="E6" s="17" t="n">
        <x:f>1000*'Prices'!H21/'Prices'!I21</x:f>
        <x:v>1000</x:v>
      </x:c>
      <x:c r="F6" s="18"/>
      <x:c r="G6" s="18" t="n">
        <x:f>E6/1000-1</x:f>
        <x:v>0</x:v>
      </x:c>
      <x:c r="H6" s="17" t="n">
        <x:f>1000*'Prices'!H22/'Prices'!I22</x:f>
        <x:v>1000</x:v>
      </x:c>
      <x:c r="I6" s="18"/>
      <x:c r="J6" s="18" t="n">
        <x:f>H6/1000-1</x:f>
        <x:v>0</x:v>
      </x:c>
      <x:c r="K6" s="22"/>
      <x:c r="L6" s="22"/>
      <x:c r="M6" s="20" t="n">
        <x:f>SUM('Returns and Contributions'!G6:G20)</x:f>
        <x:v>0.9999999999999999</x:v>
      </x:c>
      <x:c r="N6" s="24"/>
      <x:c r="O6" s="2" t="n">
        <x:v>2</x:v>
      </x:c>
      <x:c r="P6" s="11" t="str">
        <x:f>IF(COUNTIF('Source Audit'!I6:I22,"Mismatch")=0,"Passed","Failed")</x:f>
        <x:v>Passed</x:v>
      </x:c>
      <x:c r="Q6" s="27" t="n">
        <x:v>46304.492743877316</x:v>
      </x:c>
      <x:c r="R6" s="26" t="n">
        <x:f>B6-1000*('Prices'!H6/'Prices'!H6+'Prices'!H7/'Prices'!H7+'Prices'!H8/'Prices'!H8+'Prices'!H9/'Prices'!H9+'Prices'!H10/'Prices'!H10+'Prices'!H11/'Prices'!H11+'Prices'!H12/'Prices'!H12+'Prices'!H13/'Prices'!H13+'Prices'!H14/'Prices'!H14+'Prices'!H15/'Prices'!H15+'Prices'!H16/'Prices'!H16+'Prices'!H17/'Prices'!H17+'Prices'!H18/'Prices'!H18+'Prices'!H19/'Prices'!H19+'Prices'!H20/'Prices'!H20)/15</x:f>
        <x:v>0</x:v>
      </x:c>
      <x:c r="S6" s="22" t="n">
        <x:f>(D6-G6)*100</x:f>
        <x:v>0</x:v>
      </x:c>
      <x:c r="T6" s="22" t="n">
        <x:f>(D6-J6)*100</x:f>
        <x:v>0</x:v>
      </x:c>
    </x:row>
    <x:row r="7" ht="40" customHeight="1">
      <x:c r="A7" s="9" t="n">
        <x:v>46297</x:v>
      </x:c>
      <x:c r="B7" s="16" t="n">
        <x:f>B6*(1+SUM('Returns and Contributions'!F21:F35))</x:f>
        <x:v>1015.828434156689</x:v>
      </x:c>
      <x:c r="C7" s="19" t="n">
        <x:f>B7/B6-1</x:f>
        <x:v>0.015828434156688997</x:v>
      </x:c>
      <x:c r="D7" s="19" t="n">
        <x:f>B7/$B$6-1</x:f>
        <x:v>0.015828434156688997</x:v>
      </x:c>
      <x:c r="E7" s="16" t="n">
        <x:f>1000*'Prices'!H38/'Prices'!I38</x:f>
        <x:v>1007.3397726457487</x:v>
      </x:c>
      <x:c r="F7" s="19" t="n">
        <x:f>E7/E6-1</x:f>
        <x:v>0.007339772645748699</x:v>
      </x:c>
      <x:c r="G7" s="19" t="n">
        <x:f>E7/1000-1</x:f>
        <x:v>0.007339772645748699</x:v>
      </x:c>
      <x:c r="H7" s="16" t="n">
        <x:f>1000*'Prices'!H39/'Prices'!I39</x:f>
        <x:v>1011.8810845312026</x:v>
      </x:c>
      <x:c r="I7" s="19" t="n">
        <x:f>H7/H6-1</x:f>
        <x:v>0.011881084531202735</x:v>
      </x:c>
      <x:c r="J7" s="19" t="n">
        <x:f>H7/1000-1</x:f>
        <x:v>0.011881084531202735</x:v>
      </x:c>
      <x:c r="K7" s="23" t="n">
        <x:f>(C7-F7)*100</x:f>
        <x:v>0.8488661510940299</x:v>
      </x:c>
      <x:c r="L7" s="23" t="n">
        <x:f>(C7-I7)*100</x:f>
        <x:v>0.3947349625486263</x:v>
      </x:c>
      <x:c r="M7" s="21" t="n">
        <x:f>SUM('Returns and Contributions'!G21:G35)</x:f>
        <x:v>0.9999999999999999</x:v>
      </x:c>
      <x:c r="N7" s="25" t="n">
        <x:f>SUM('Returns and Contributions'!F21:F35)-C7</x:f>
        <x:v>-9.71445146547012e-17</x:v>
      </x:c>
      <x:c r="O7" s="10" t="n">
        <x:v>2</x:v>
      </x:c>
      <x:c r="P7" s="12" t="str">
        <x:f>IF(COUNTIF('Source Audit'!I23:I39,"Mismatch")=0,"Passed","Failed")</x:f>
        <x:v>Passed</x:v>
      </x:c>
      <x:c r="Q7" s="28" t="n">
        <x:v>46304.492743877316</x:v>
      </x:c>
      <x:c r="R7" s="25" t="n">
        <x:f>B7-1000*('Prices'!H23/'Prices'!H6+'Prices'!H24/'Prices'!H7+'Prices'!H25/'Prices'!H8+'Prices'!H26/'Prices'!H9+'Prices'!H27/'Prices'!H10+'Prices'!H28/'Prices'!H11+'Prices'!H29/'Prices'!H12+'Prices'!H30/'Prices'!H13+'Prices'!H31/'Prices'!H14+'Prices'!H32/'Prices'!H15+'Prices'!H33/'Prices'!H16+'Prices'!H34/'Prices'!H17+'Prices'!H35/'Prices'!H18+'Prices'!H36/'Prices'!H19+'Prices'!H37/'Prices'!H20)/15</x:f>
        <x:v>2.2737367544323206e-13</x:v>
      </x:c>
      <x:c r="S7" s="23" t="n">
        <x:f>(D7-G7)*100</x:f>
        <x:v>0.8488661510940299</x:v>
      </x:c>
      <x:c r="T7" s="23" t="n">
        <x:f>(D7-J7)*100</x:f>
        <x:v>0.3947349625486263</x:v>
      </x:c>
    </x:row>
    <x:row r="8" ht="40" customHeight="1">
      <x:c r="A8" s="8" t="n">
        <x:v>46300</x:v>
      </x:c>
      <x:c r="B8" s="17" t="n">
        <x:f>B7*(1+SUM('Returns and Contributions'!F36:F50))</x:f>
        <x:v>1021.3799130205241</x:v>
      </x:c>
      <x:c r="C8" s="18" t="n">
        <x:f>B8/B7-1</x:f>
        <x:v>0.005464976837790347</x:v>
      </x:c>
      <x:c r="D8" s="18" t="n">
        <x:f>B8/$B$6-1</x:f>
        <x:v>0.02137991302052411</x:v>
      </x:c>
      <x:c r="E8" s="17" t="n">
        <x:f>1000*'Prices'!H55/'Prices'!I55</x:f>
        <x:v>1014.022160843676</x:v>
      </x:c>
      <x:c r="F8" s="18" t="n">
        <x:f>E8/E7-1</x:f>
        <x:v>0.006633698360163365</x:v>
      </x:c>
      <x:c r="G8" s="18" t="n">
        <x:f>E8/1000-1</x:f>
        <x:v>0.014022160843676135</x:v>
      </x:c>
      <x:c r="H8" s="17" t="n">
        <x:f>1000*'Prices'!H56/'Prices'!I56</x:f>
        <x:v>1022.5410821806909</x:v>
      </x:c>
      <x:c r="I8" s="18" t="n">
        <x:f>H8/H7-1</x:f>
        <x:v>0.010534832415042938</x:v>
      </x:c>
      <x:c r="J8" s="18" t="n">
        <x:f>H8/1000-1</x:f>
        <x:v>0.02254108218069084</x:v>
      </x:c>
      <x:c r="K8" s="22" t="n">
        <x:f>(C8-F8)*100</x:f>
        <x:v>-0.11687215223730174</x:v>
      </x:c>
      <x:c r="L8" s="22" t="n">
        <x:f>(C8-I8)*100</x:f>
        <x:v>-0.5069855577252591</x:v>
      </x:c>
      <x:c r="M8" s="20" t="n">
        <x:f>SUM('Returns and Contributions'!G36:G50)</x:f>
        <x:v>1</x:v>
      </x:c>
      <x:c r="N8" s="26" t="n">
        <x:f>SUM('Returns and Contributions'!F36:F50)-C8</x:f>
        <x:v>6.591949208711867e-17</x:v>
      </x:c>
      <x:c r="O8" s="2" t="n">
        <x:v>2</x:v>
      </x:c>
      <x:c r="P8" s="11" t="str">
        <x:f>IF(COUNTIF('Source Audit'!I40:I56,"Mismatch")=0,"Passed","Failed")</x:f>
        <x:v>Passed</x:v>
      </x:c>
      <x:c r="Q8" s="27" t="n">
        <x:v>46304.492743877316</x:v>
      </x:c>
      <x:c r="R8" s="26" t="n">
        <x:f>B8-1000*('Prices'!H40/'Prices'!H6+'Prices'!H41/'Prices'!H7+'Prices'!H42/'Prices'!H8+'Prices'!H43/'Prices'!H9+'Prices'!H44/'Prices'!H10+'Prices'!H45/'Prices'!H11+'Prices'!H46/'Prices'!H12+'Prices'!H47/'Prices'!H13+'Prices'!H48/'Prices'!H14+'Prices'!H49/'Prices'!H15+'Prices'!H50/'Prices'!H16+'Prices'!H51/'Prices'!H17+'Prices'!H52/'Prices'!H18+'Prices'!H53/'Prices'!H19+'Prices'!H54/'Prices'!H20)/15</x:f>
        <x:v>-1.1368683772161603e-13</x:v>
      </x:c>
      <x:c r="S8" s="22" t="n">
        <x:f>(D8-G8)*100</x:f>
        <x:v>0.7357752176847976</x:v>
      </x:c>
      <x:c r="T8" s="22" t="n">
        <x:f>(D8-J8)*100</x:f>
        <x:v>-0.11611691601667307</x:v>
      </x:c>
    </x:row>
    <x:row r="9" ht="40" customHeight="1">
      <x:c r="A9" s="9" t="n">
        <x:v>46301</x:v>
      </x:c>
      <x:c r="B9" s="16" t="n">
        <x:f>B8*(1+SUM('Returns and Contributions'!F51:F65))</x:f>
        <x:v>1026.5536455216961</x:v>
      </x:c>
      <x:c r="C9" s="19" t="n">
        <x:f>B9/B8-1</x:f>
        <x:v>0.005065433963618693</x:v>
      </x:c>
      <x:c r="D9" s="19" t="n">
        <x:f>B9/$B$6-1</x:f>
        <x:v>0.026553645521696145</x:v>
      </x:c>
      <x:c r="E9" s="16" t="n">
        <x:f>1000*'Prices'!H72/'Prices'!I72</x:f>
        <x:v>1019.8892806970632</x:v>
      </x:c>
      <x:c r="F9" s="19" t="n">
        <x:f>E9/E8-1</x:f>
        <x:v>0.005785987801790959</x:v>
      </x:c>
      <x:c r="G9" s="19" t="n">
        <x:f>E9/1000-1</x:f>
        <x:v>0.019889280697063194</x:v>
      </x:c>
      <x:c r="H9" s="16" t="n">
        <x:f>1000*'Prices'!H73/'Prices'!I73</x:f>
        <x:v>1027.0989996697517</x:v>
      </x:c>
      <x:c r="I9" s="19" t="n">
        <x:f>H9/H8-1</x:f>
        <x:v>0.004457441924328842</x:v>
      </x:c>
      <x:c r="J9" s="19" t="n">
        <x:f>H9/1000-1</x:f>
        <x:v>0.02709899966975171</x:v>
      </x:c>
      <x:c r="K9" s="23" t="n">
        <x:f>(C9-F9)*100</x:f>
        <x:v>-0.07205538381722665</x:v>
      </x:c>
      <x:c r="L9" s="23" t="n">
        <x:f>(C9-I9)*100</x:f>
        <x:v>0.06079920392898508</x:v>
      </x:c>
      <x:c r="M9" s="21" t="n">
        <x:f>SUM('Returns and Contributions'!G51:G65)</x:f>
        <x:v>1</x:v>
      </x:c>
      <x:c r="N9" s="25" t="n">
        <x:f>SUM('Returns and Contributions'!F51:F65)-C9</x:f>
        <x:v>4.683753385137379e-17</x:v>
      </x:c>
      <x:c r="O9" s="10" t="n">
        <x:v>2</x:v>
      </x:c>
      <x:c r="P9" s="12" t="str">
        <x:f>IF(COUNTIF('Source Audit'!I57:I73,"Mismatch")=0,"Passed","Failed")</x:f>
        <x:v>Passed</x:v>
      </x:c>
      <x:c r="Q9" s="28" t="n">
        <x:v>46304.492743877316</x:v>
      </x:c>
      <x:c r="R9" s="25" t="n">
        <x:f>B9-1000*('Prices'!H57/'Prices'!H6+'Prices'!H58/'Prices'!H7+'Prices'!H59/'Prices'!H8+'Prices'!H60/'Prices'!H9+'Prices'!H61/'Prices'!H10+'Prices'!H62/'Prices'!H11+'Prices'!H63/'Prices'!H12+'Prices'!H64/'Prices'!H13+'Prices'!H65/'Prices'!H14+'Prices'!H66/'Prices'!H15+'Prices'!H67/'Prices'!H16+'Prices'!H68/'Prices'!H17+'Prices'!H69/'Prices'!H18+'Prices'!H70/'Prices'!H19+'Prices'!H71/'Prices'!H20)/15</x:f>
        <x:v>-2.2737367544323206e-13</x:v>
      </x:c>
      <x:c r="S9" s="23" t="n">
        <x:f>(D9-G9)*100</x:f>
        <x:v>0.6664364824632951</x:v>
      </x:c>
      <x:c r="T9" s="23" t="n">
        <x:f>(D9-J9)*100</x:f>
        <x:v>-0.05453541480555657</x:v>
      </x:c>
    </x:row>
    <x:row r="10" ht="40" customHeight="1">
      <x:c r="A10" s="8" t="n">
        <x:v>46302</x:v>
      </x:c>
      <x:c r="B10" s="17" t="n">
        <x:f>B9*(1+SUM('Returns and Contributions'!F66:F80))</x:f>
        <x:v>1003.8668214684625</x:v>
      </x:c>
      <x:c r="C10" s="18" t="n">
        <x:f>B10/B9-1</x:f>
        <x:v>-0.02209998878500319</x:v>
      </x:c>
      <x:c r="D10" s="18" t="n">
        <x:f>B10/$B$6-1</x:f>
        <x:v>0.0038668214684625113</x:v>
      </x:c>
      <x:c r="E10" s="17" t="n">
        <x:f>1000*'Prices'!H89/'Prices'!I89</x:f>
        <x:v>1017.6509362221105</x:v>
      </x:c>
      <x:c r="F10" s="18" t="n">
        <x:f>E10/E9-1</x:f>
        <x:v>-0.0021946935979392235</x:v>
      </x:c>
      <x:c r="G10" s="18" t="n">
        <x:f>E10/1000-1</x:f>
        <x:v>0.017650936222110447</x:v>
      </x:c>
      <x:c r="H10" s="17" t="n">
        <x:f>1000*'Prices'!H90/'Prices'!I90</x:f>
        <x:v>1024.8253104671414</x:v>
      </x:c>
      <x:c r="I10" s="18" t="n">
        <x:f>H10/H9-1</x:f>
        <x:v>-0.002213700143161801</x:v>
      </x:c>
      <x:c r="J10" s="18" t="n">
        <x:f>H10/1000-1</x:f>
        <x:v>0.024825310467141426</x:v>
      </x:c>
      <x:c r="K10" s="22" t="n">
        <x:f>(C10-F10)*100</x:f>
        <x:v>-1.9905295187063965</x:v>
      </x:c>
      <x:c r="L10" s="22" t="n">
        <x:f>(C10-I10)*100</x:f>
        <x:v>-1.9886288641841388</x:v>
      </x:c>
      <x:c r="M10" s="20" t="n">
        <x:f>SUM('Returns and Contributions'!G66:G80)</x:f>
        <x:v>1</x:v>
      </x:c>
      <x:c r="N10" s="26" t="n">
        <x:f>SUM('Returns and Contributions'!F66:F80)-C10</x:f>
        <x:v>-3.469446951953614e-17</x:v>
      </x:c>
      <x:c r="O10" s="2" t="n">
        <x:v>2</x:v>
      </x:c>
      <x:c r="P10" s="11" t="str">
        <x:f>IF(COUNTIF('Source Audit'!I74:I90,"Mismatch")=0,"Passed","Failed")</x:f>
        <x:v>Passed</x:v>
      </x:c>
      <x:c r="Q10" s="27" t="n">
        <x:v>46304.492743877316</x:v>
      </x:c>
      <x:c r="R10" s="26" t="n">
        <x:f>B10-1000*('Prices'!H74/'Prices'!H6+'Prices'!H75/'Prices'!H7+'Prices'!H76/'Prices'!H8+'Prices'!H77/'Prices'!H9+'Prices'!H78/'Prices'!H10+'Prices'!H79/'Prices'!H11+'Prices'!H80/'Prices'!H12+'Prices'!H81/'Prices'!H13+'Prices'!H82/'Prices'!H14+'Prices'!H83/'Prices'!H15+'Prices'!H84/'Prices'!H16+'Prices'!H85/'Prices'!H17+'Prices'!H86/'Prices'!H18+'Prices'!H87/'Prices'!H19+'Prices'!H88/'Prices'!H20)/15</x:f>
        <x:v>1.1368683772161603e-13</x:v>
      </x:c>
      <x:c r="S10" s="22" t="n">
        <x:f>(D10-G10)*100</x:f>
        <x:v>-1.3784114753647936</x:v>
      </x:c>
      <x:c r="T10" s="22" t="n">
        <x:f>(D10-J10)*100</x:f>
        <x:v>-2.0958488998678915</x:v>
      </x:c>
    </x:row>
    <x:row r="11" ht="40" customHeight="1">
      <x:c r="A11" s="9" t="n">
        <x:v>46303</x:v>
      </x:c>
      <x:c r="B11" s="16" t="n">
        <x:f>B10*(1+SUM('Returns and Contributions'!F81:F95))</x:f>
        <x:v>976.8397659583642</x:v>
      </x:c>
      <x:c r="C11" s="19" t="n">
        <x:f>B11/B10-1</x:f>
        <x:v>-0.026922949271859564</x:v>
      </x:c>
      <x:c r="D11" s="19" t="n">
        <x:f>B11/$B$6-1</x:f>
        <x:v>-0.023160234041635808</x:v>
      </x:c>
      <x:c r="E11" s="16" t="n">
        <x:f>1000*'Prices'!H106/'Prices'!I106</x:f>
        <x:v>1012.9016689602098</x:v>
      </x:c>
      <x:c r="F11" s="19" t="n">
        <x:f>E11/E10-1</x:f>
        <x:v>-0.00466689224453698</x:v>
      </x:c>
      <x:c r="G11" s="19" t="n">
        <x:f>E11/1000-1</x:f>
        <x:v>0.012901668960209722</x:v>
      </x:c>
      <x:c r="H11" s="16" t="n">
        <x:f>1000*'Prices'!H107/'Prices'!I107</x:f>
        <x:v>1011.9733901771974</x:v>
      </x:c>
      <x:c r="I11" s="19" t="n">
        <x:f>H11/H10-1</x:f>
        <x:v>-0.012540596098359225</x:v>
      </x:c>
      <x:c r="J11" s="19" t="n">
        <x:f>H11/1000-1</x:f>
        <x:v>0.011973390177197452</x:v>
      </x:c>
      <x:c r="K11" s="23" t="n">
        <x:f>(C11-F11)*100</x:f>
        <x:v>-2.2256057027322584</x:v>
      </x:c>
      <x:c r="L11" s="23" t="n">
        <x:f>(C11-I11)*100</x:f>
        <x:v>-1.438235317350034</x:v>
      </x:c>
      <x:c r="M11" s="21" t="n">
        <x:f>SUM('Returns and Contributions'!G81:G95)</x:f>
        <x:v>1</x:v>
      </x:c>
      <x:c r="N11" s="25" t="n">
        <x:f>SUM('Returns and Contributions'!F81:F95)-C11</x:f>
        <x:v>4.5102810375396984e-17</x:v>
      </x:c>
      <x:c r="O11" s="10" t="n">
        <x:v>0</x:v>
      </x:c>
      <x:c r="P11" s="12" t="str">
        <x:f>IF(COUNTIF('Source Audit'!I91:I107,"Mismatch")=0,"Passed","Failed")</x:f>
        <x:v>Passed</x:v>
      </x:c>
      <x:c r="Q11" s="28" t="n">
        <x:v>46304.492743877316</x:v>
      </x:c>
      <x:c r="R11" s="25" t="n">
        <x:f>B11-1000*('Prices'!H91/'Prices'!H6+'Prices'!H92/'Prices'!H7+'Prices'!H93/'Prices'!H8+'Prices'!H94/'Prices'!H9+'Prices'!H95/'Prices'!H10+'Prices'!H96/'Prices'!H11+'Prices'!H97/'Prices'!H12+'Prices'!H98/'Prices'!H13+'Prices'!H99/'Prices'!H14+'Prices'!H100/'Prices'!H15+'Prices'!H101/'Prices'!H16+'Prices'!H102/'Prices'!H17+'Prices'!H103/'Prices'!H18+'Prices'!H104/'Prices'!H19+'Prices'!H105/'Prices'!H20)/15</x:f>
        <x:v>-2.2737367544323206e-13</x:v>
      </x:c>
      <x:c r="S11" s="23" t="n">
        <x:f>(D11-G11)*100</x:f>
        <x:v>-3.606190300184553</x:v>
      </x:c>
      <x:c r="T11" s="23" t="n">
        <x:f>(D11-J11)*100</x:f>
        <x:v>-3.513362421883326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c22099783ddb40e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8" hidden="0" customWidth="1"/>
    <x:col min="5" max="5" width="13" hidden="0" customWidth="1"/>
    <x:col min="6" max="6" width="1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7" customHeight="1">
      <x:c r="A2" s="3" t="str">
        <x:v>Closing price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7" customHeight="1">
      <x:c r="A3" s="4" t="str">
        <x:v>Unadjusted prices in listing currency. Sources and exchange calendars are in Source Audit.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Marketstack symbol</x:v>
      </x:c>
      <x:c r="E5" s="7" t="str">
        <x:v>MIC</x:v>
      </x:c>
      <x:c r="F5" s="7" t="str">
        <x:v>Currency</x:v>
      </x:c>
      <x:c r="G5" s="7" t="str">
        <x:v>Previous close</x:v>
      </x:c>
      <x:c r="H5" s="7" t="str">
        <x:v>Close</x:v>
      </x:c>
      <x:c r="I5" s="7" t="str">
        <x:v>Launch close</x:v>
      </x:c>
      <x:c r="J5" s="7" t="str">
        <x:v>Source date</x:v>
      </x:c>
      <x:c r="K5" s="7" t="str">
        <x:v>Market status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2" t="str">
        <x:v>6954.T</x:v>
      </x:c>
      <x:c r="E6" s="2" t="str">
        <x:v>XJPX</x:v>
      </x:c>
      <x:c r="F6" s="2" t="str">
        <x:v>JPY</x:v>
      </x:c>
      <x:c r="G6" s="15"/>
      <x:c r="H6" s="30" t="n">
        <x:v>6127</x:v>
      </x:c>
      <x:c r="I6" s="30" t="n">
        <x:v>6127</x:v>
      </x:c>
      <x:c r="J6" s="8" t="n">
        <x:v>46296</x:v>
      </x:c>
      <x:c r="K6" s="2" t="str">
        <x:v>Open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0" t="str">
        <x:v>6506.T</x:v>
      </x:c>
      <x:c r="E7" s="10" t="str">
        <x:v>XJPX</x:v>
      </x:c>
      <x:c r="F7" s="10" t="str">
        <x:v>JPY</x:v>
      </x:c>
      <x:c r="G7" s="29"/>
      <x:c r="H7" s="31" t="n">
        <x:v>4779</x:v>
      </x:c>
      <x:c r="I7" s="31" t="n">
        <x:v>4779</x:v>
      </x:c>
      <x:c r="J7" s="9" t="n">
        <x:v>46296</x:v>
      </x:c>
      <x:c r="K7" s="10" t="str">
        <x:v>Open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2" t="str">
        <x:v>002747.SZ</x:v>
      </x:c>
      <x:c r="E8" s="2" t="str">
        <x:v>XSHE</x:v>
      </x:c>
      <x:c r="F8" s="2" t="str">
        <x:v>CNY</x:v>
      </x:c>
      <x:c r="G8" s="15"/>
      <x:c r="H8" s="30" t="n">
        <x:v>28.22</x:v>
      </x:c>
      <x:c r="I8" s="30" t="n">
        <x:v>28.22</x:v>
      </x:c>
      <x:c r="J8" s="8" t="n">
        <x:v>46295</x:v>
      </x:c>
      <x:c r="K8" s="2" t="str">
        <x:v>Verified closure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0" t="str">
        <x:v>TER</x:v>
      </x:c>
      <x:c r="E9" s="10" t="str">
        <x:v>XNAS</x:v>
      </x:c>
      <x:c r="F9" s="10" t="str">
        <x:v>USD</x:v>
      </x:c>
      <x:c r="G9" s="29"/>
      <x:c r="H9" s="31" t="n">
        <x:v>415.79</x:v>
      </x:c>
      <x:c r="I9" s="31" t="n">
        <x:v>415.79</x:v>
      </x:c>
      <x:c r="J9" s="9" t="n">
        <x:v>46296</x:v>
      </x:c>
      <x:c r="K9" s="10" t="str">
        <x:v>Open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2" t="str">
        <x:v>6268.T</x:v>
      </x:c>
      <x:c r="E10" s="2" t="str">
        <x:v>XJPX</x:v>
      </x:c>
      <x:c r="F10" s="2" t="str">
        <x:v>JPY</x:v>
      </x:c>
      <x:c r="G10" s="15"/>
      <x:c r="H10" s="30" t="n">
        <x:v>4975</x:v>
      </x:c>
      <x:c r="I10" s="30" t="n">
        <x:v>4975</x:v>
      </x:c>
      <x:c r="J10" s="8" t="n">
        <x:v>46296</x:v>
      </x:c>
      <x:c r="K10" s="2" t="str">
        <x:v>Open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0" t="str">
        <x:v>300124.SZ</x:v>
      </x:c>
      <x:c r="E11" s="10" t="str">
        <x:v>XSHE</x:v>
      </x:c>
      <x:c r="F11" s="10" t="str">
        <x:v>CNY</x:v>
      </x:c>
      <x:c r="G11" s="29"/>
      <x:c r="H11" s="31" t="n">
        <x:v>51.9</x:v>
      </x:c>
      <x:c r="I11" s="31" t="n">
        <x:v>51.9</x:v>
      </x:c>
      <x:c r="J11" s="9" t="n">
        <x:v>46295</x:v>
      </x:c>
      <x:c r="K11" s="10" t="str">
        <x:v>Verified closure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2" t="str">
        <x:v>6861.T</x:v>
      </x:c>
      <x:c r="E12" s="2" t="str">
        <x:v>XJPX</x:v>
      </x:c>
      <x:c r="F12" s="2" t="str">
        <x:v>JPY</x:v>
      </x:c>
      <x:c r="G12" s="15"/>
      <x:c r="H12" s="30" t="n">
        <x:v>81200</x:v>
      </x:c>
      <x:c r="I12" s="30" t="n">
        <x:v>81200</x:v>
      </x:c>
      <x:c r="J12" s="8" t="n">
        <x:v>46296</x:v>
      </x:c>
      <x:c r="K12" s="2" t="str">
        <x:v>Open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0" t="str">
        <x:v>CGNX</x:v>
      </x:c>
      <x:c r="E13" s="10" t="str">
        <x:v>XNAS</x:v>
      </x:c>
      <x:c r="F13" s="10" t="str">
        <x:v>USD</x:v>
      </x:c>
      <x:c r="G13" s="29"/>
      <x:c r="H13" s="31" t="n">
        <x:v>62.22</x:v>
      </x:c>
      <x:c r="I13" s="31" t="n">
        <x:v>62.22</x:v>
      </x:c>
      <x:c r="J13" s="9" t="n">
        <x:v>46296</x:v>
      </x:c>
      <x:c r="K13" s="10" t="str">
        <x:v>Open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2" t="str">
        <x:v>OUST</x:v>
      </x:c>
      <x:c r="E14" s="2" t="str">
        <x:v>XNYS</x:v>
      </x:c>
      <x:c r="F14" s="2" t="str">
        <x:v>USD</x:v>
      </x:c>
      <x:c r="G14" s="15"/>
      <x:c r="H14" s="30" t="n">
        <x:v>40.87</x:v>
      </x:c>
      <x:c r="I14" s="30" t="n">
        <x:v>40.87</x:v>
      </x:c>
      <x:c r="J14" s="8" t="n">
        <x:v>46296</x:v>
      </x:c>
      <x:c r="K14" s="2" t="str">
        <x:v>Open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0" t="str">
        <x:v>HSAI</x:v>
      </x:c>
      <x:c r="E15" s="10" t="str">
        <x:v>XNAS</x:v>
      </x:c>
      <x:c r="F15" s="10" t="str">
        <x:v>USD</x:v>
      </x:c>
      <x:c r="G15" s="29"/>
      <x:c r="H15" s="31" t="n">
        <x:v>15.93</x:v>
      </x:c>
      <x:c r="I15" s="31" t="n">
        <x:v>15.93</x:v>
      </x:c>
      <x:c r="J15" s="9" t="n">
        <x:v>46296</x:v>
      </x:c>
      <x:c r="K15" s="10" t="str">
        <x:v>Open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2" t="str">
        <x:v>ROK</x:v>
      </x:c>
      <x:c r="E16" s="2" t="str">
        <x:v>XNYS</x:v>
      </x:c>
      <x:c r="F16" s="2" t="str">
        <x:v>USD</x:v>
      </x:c>
      <x:c r="G16" s="15"/>
      <x:c r="H16" s="30" t="n">
        <x:v>442.45</x:v>
      </x:c>
      <x:c r="I16" s="30" t="n">
        <x:v>442.45</x:v>
      </x:c>
      <x:c r="J16" s="8" t="n">
        <x:v>46296</x:v>
      </x:c>
      <x:c r="K16" s="2" t="str">
        <x:v>Open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0" t="str">
        <x:v>SIE.DE</x:v>
      </x:c>
      <x:c r="E17" s="10" t="str">
        <x:v>XETR</x:v>
      </x:c>
      <x:c r="F17" s="10" t="str">
        <x:v>EUR</x:v>
      </x:c>
      <x:c r="G17" s="29"/>
      <x:c r="H17" s="31" t="n">
        <x:v>271.9</x:v>
      </x:c>
      <x:c r="I17" s="31" t="n">
        <x:v>271.9</x:v>
      </x:c>
      <x:c r="J17" s="9" t="n">
        <x:v>46296</x:v>
      </x:c>
      <x:c r="K17" s="10" t="str">
        <x:v>Open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2" t="str">
        <x:v>NXPI</x:v>
      </x:c>
      <x:c r="E18" s="2" t="str">
        <x:v>XNAS</x:v>
      </x:c>
      <x:c r="F18" s="2" t="str">
        <x:v>USD</x:v>
      </x:c>
      <x:c r="G18" s="15"/>
      <x:c r="H18" s="30" t="n">
        <x:v>239.19</x:v>
      </x:c>
      <x:c r="I18" s="30" t="n">
        <x:v>239.19</x:v>
      </x:c>
      <x:c r="J18" s="8" t="n">
        <x:v>46296</x:v>
      </x:c>
      <x:c r="K18" s="2" t="str">
        <x:v>Open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0" t="str">
        <x:v>6383.T</x:v>
      </x:c>
      <x:c r="E19" s="10" t="str">
        <x:v>XJPX</x:v>
      </x:c>
      <x:c r="F19" s="10" t="str">
        <x:v>JPY</x:v>
      </x:c>
      <x:c r="G19" s="29"/>
      <x:c r="H19" s="31" t="n">
        <x:v>5832</x:v>
      </x:c>
      <x:c r="I19" s="31" t="n">
        <x:v>5832</x:v>
      </x:c>
      <x:c r="J19" s="9" t="n">
        <x:v>46296</x:v>
      </x:c>
      <x:c r="K19" s="10" t="str">
        <x:v>Open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2" t="str">
        <x:v>HEXA-B.ST</x:v>
      </x:c>
      <x:c r="E20" s="2" t="str">
        <x:v>XSTO</x:v>
      </x:c>
      <x:c r="F20" s="2" t="str">
        <x:v>SEK</x:v>
      </x:c>
      <x:c r="G20" s="15"/>
      <x:c r="H20" s="30" t="n">
        <x:v>99.02</x:v>
      </x:c>
      <x:c r="I20" s="30" t="n">
        <x:v>99.02</x:v>
      </x:c>
      <x:c r="J20" s="8" t="n">
        <x:v>46296</x:v>
      </x:c>
      <x:c r="K20" s="2" t="str">
        <x:v>Open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10" t="str">
        <x:v>GSPC.INDX</x:v>
      </x:c>
      <x:c r="E21" s="10" t="str">
        <x:v>INDX</x:v>
      </x:c>
      <x:c r="F21" s="10" t="str">
        <x:v>USD</x:v>
      </x:c>
      <x:c r="G21" s="29"/>
      <x:c r="H21" s="31" t="n">
        <x:v>7666.45</x:v>
      </x:c>
      <x:c r="I21" s="31" t="n">
        <x:v>7666.45</x:v>
      </x:c>
      <x:c r="J21" s="9" t="n">
        <x:v>46296</x:v>
      </x:c>
      <x:c r="K21" s="10" t="str">
        <x:v>Open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2" t="str">
        <x:v>IXIC.INDX</x:v>
      </x:c>
      <x:c r="E22" s="2" t="str">
        <x:v>INDX</x:v>
      </x:c>
      <x:c r="F22" s="2" t="str">
        <x:v>USD</x:v>
      </x:c>
      <x:c r="G22" s="15"/>
      <x:c r="H22" s="30" t="n">
        <x:v>26871.5957</x:v>
      </x:c>
      <x:c r="I22" s="30" t="n">
        <x:v>26871.5957</x:v>
      </x:c>
      <x:c r="J22" s="8" t="n">
        <x:v>46296</x:v>
      </x:c>
      <x:c r="K22" s="2" t="str">
        <x:v>Open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10" t="str">
        <x:v>6954.T</x:v>
      </x:c>
      <x:c r="E23" s="10" t="str">
        <x:v>XJPX</x:v>
      </x:c>
      <x:c r="F23" s="10" t="str">
        <x:v>JPY</x:v>
      </x:c>
      <x:c r="G23" s="29" t="n">
        <x:f>H6</x:f>
        <x:v>6127</x:v>
      </x:c>
      <x:c r="H23" s="31" t="n">
        <x:v>6075</x:v>
      </x:c>
      <x:c r="I23" s="31" t="n">
        <x:v>6127</x:v>
      </x:c>
      <x:c r="J23" s="9" t="n">
        <x:v>46297</x:v>
      </x:c>
      <x:c r="K23" s="10" t="str">
        <x:v>Open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2" t="str">
        <x:v>6506.T</x:v>
      </x:c>
      <x:c r="E24" s="2" t="str">
        <x:v>XJPX</x:v>
      </x:c>
      <x:c r="F24" s="2" t="str">
        <x:v>JPY</x:v>
      </x:c>
      <x:c r="G24" s="15" t="n">
        <x:f>H7</x:f>
        <x:v>4779</x:v>
      </x:c>
      <x:c r="H24" s="30" t="n">
        <x:v>4806</x:v>
      </x:c>
      <x:c r="I24" s="30" t="n">
        <x:v>4779</x:v>
      </x:c>
      <x:c r="J24" s="8" t="n">
        <x:v>46297</x:v>
      </x:c>
      <x:c r="K24" s="2" t="str">
        <x:v>Open</x:v>
      </x:c>
    </x:row>
    <x:row r="25" ht="27" customHeight="1">
      <x:c r="A25" s="9" t="n">
        <x:v>46297</x:v>
      </x:c>
      <x:c r="B25" s="10" t="str">
        <x:v>Estun Automation</x:v>
      </x:c>
      <x:c r="C25" s="14" t="str">
        <x:v>002747</x:v>
      </x:c>
      <x:c r="D25" s="10" t="str">
        <x:v>002747.SZ</x:v>
      </x:c>
      <x:c r="E25" s="10" t="str">
        <x:v>XSHE</x:v>
      </x:c>
      <x:c r="F25" s="10" t="str">
        <x:v>CNY</x:v>
      </x:c>
      <x:c r="G25" s="29" t="n">
        <x:f>H8</x:f>
        <x:v>28.22</x:v>
      </x:c>
      <x:c r="H25" s="31" t="n">
        <x:v>28.22</x:v>
      </x:c>
      <x:c r="I25" s="31" t="n">
        <x:v>28.22</x:v>
      </x:c>
      <x:c r="J25" s="9" t="n">
        <x:v>46295</x:v>
      </x:c>
      <x:c r="K25" s="10" t="str">
        <x:v>Verified closure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2" t="str">
        <x:v>TER</x:v>
      </x:c>
      <x:c r="E26" s="2" t="str">
        <x:v>XNAS</x:v>
      </x:c>
      <x:c r="F26" s="2" t="str">
        <x:v>USD</x:v>
      </x:c>
      <x:c r="G26" s="15" t="n">
        <x:f>H9</x:f>
        <x:v>415.79</x:v>
      </x:c>
      <x:c r="H26" s="30" t="n">
        <x:v>449.04</x:v>
      </x:c>
      <x:c r="I26" s="30" t="n">
        <x:v>415.79</x:v>
      </x:c>
      <x:c r="J26" s="8" t="n">
        <x:v>46297</x:v>
      </x:c>
      <x:c r="K26" s="2" t="str">
        <x:v>Open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10" t="str">
        <x:v>6268.T</x:v>
      </x:c>
      <x:c r="E27" s="10" t="str">
        <x:v>XJPX</x:v>
      </x:c>
      <x:c r="F27" s="10" t="str">
        <x:v>JPY</x:v>
      </x:c>
      <x:c r="G27" s="29" t="n">
        <x:f>H10</x:f>
        <x:v>4975</x:v>
      </x:c>
      <x:c r="H27" s="31" t="n">
        <x:v>4926</x:v>
      </x:c>
      <x:c r="I27" s="31" t="n">
        <x:v>4975</x:v>
      </x:c>
      <x:c r="J27" s="9" t="n">
        <x:v>46297</x:v>
      </x:c>
      <x:c r="K27" s="10" t="str">
        <x:v>Open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2" t="str">
        <x:v>300124.SZ</x:v>
      </x:c>
      <x:c r="E28" s="2" t="str">
        <x:v>XSHE</x:v>
      </x:c>
      <x:c r="F28" s="2" t="str">
        <x:v>CNY</x:v>
      </x:c>
      <x:c r="G28" s="15" t="n">
        <x:f>H11</x:f>
        <x:v>51.9</x:v>
      </x:c>
      <x:c r="H28" s="30" t="n">
        <x:v>51.9</x:v>
      </x:c>
      <x:c r="I28" s="30" t="n">
        <x:v>51.9</x:v>
      </x:c>
      <x:c r="J28" s="8" t="n">
        <x:v>46295</x:v>
      </x:c>
      <x:c r="K28" s="2" t="str">
        <x:v>Verified closure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10" t="str">
        <x:v>6861.T</x:v>
      </x:c>
      <x:c r="E29" s="10" t="str">
        <x:v>XJPX</x:v>
      </x:c>
      <x:c r="F29" s="10" t="str">
        <x:v>JPY</x:v>
      </x:c>
      <x:c r="G29" s="29" t="n">
        <x:f>H12</x:f>
        <x:v>81200</x:v>
      </x:c>
      <x:c r="H29" s="31" t="n">
        <x:v>80270</x:v>
      </x:c>
      <x:c r="I29" s="31" t="n">
        <x:v>81200</x:v>
      </x:c>
      <x:c r="J29" s="9" t="n">
        <x:v>46297</x:v>
      </x:c>
      <x:c r="K29" s="10" t="str">
        <x:v>Open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2" t="str">
        <x:v>CGNX</x:v>
      </x:c>
      <x:c r="E30" s="2" t="str">
        <x:v>XNAS</x:v>
      </x:c>
      <x:c r="F30" s="2" t="str">
        <x:v>USD</x:v>
      </x:c>
      <x:c r="G30" s="15" t="n">
        <x:f>H13</x:f>
        <x:v>62.22</x:v>
      </x:c>
      <x:c r="H30" s="30" t="n">
        <x:v>64.97</x:v>
      </x:c>
      <x:c r="I30" s="30" t="n">
        <x:v>62.22</x:v>
      </x:c>
      <x:c r="J30" s="8" t="n">
        <x:v>46297</x:v>
      </x:c>
      <x:c r="K30" s="2" t="str">
        <x:v>Open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10" t="str">
        <x:v>OUST</x:v>
      </x:c>
      <x:c r="E31" s="10" t="str">
        <x:v>XNYS</x:v>
      </x:c>
      <x:c r="F31" s="10" t="str">
        <x:v>USD</x:v>
      </x:c>
      <x:c r="G31" s="29" t="n">
        <x:f>H14</x:f>
        <x:v>40.87</x:v>
      </x:c>
      <x:c r="H31" s="31" t="n">
        <x:v>44.39</x:v>
      </x:c>
      <x:c r="I31" s="31" t="n">
        <x:v>40.87</x:v>
      </x:c>
      <x:c r="J31" s="9" t="n">
        <x:v>46297</x:v>
      </x:c>
      <x:c r="K31" s="10" t="str">
        <x:v>Open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2" t="str">
        <x:v>HSAI</x:v>
      </x:c>
      <x:c r="E32" s="2" t="str">
        <x:v>XNAS</x:v>
      </x:c>
      <x:c r="F32" s="2" t="str">
        <x:v>USD</x:v>
      </x:c>
      <x:c r="G32" s="15" t="n">
        <x:f>H15</x:f>
        <x:v>15.93</x:v>
      </x:c>
      <x:c r="H32" s="30" t="n">
        <x:v>15.38</x:v>
      </x:c>
      <x:c r="I32" s="30" t="n">
        <x:v>15.93</x:v>
      </x:c>
      <x:c r="J32" s="8" t="n">
        <x:v>46297</x:v>
      </x:c>
      <x:c r="K32" s="2" t="str">
        <x:v>Open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10" t="str">
        <x:v>ROK</x:v>
      </x:c>
      <x:c r="E33" s="10" t="str">
        <x:v>XNYS</x:v>
      </x:c>
      <x:c r="F33" s="10" t="str">
        <x:v>USD</x:v>
      </x:c>
      <x:c r="G33" s="29" t="n">
        <x:f>H16</x:f>
        <x:v>442.45</x:v>
      </x:c>
      <x:c r="H33" s="31" t="n">
        <x:v>454.35</x:v>
      </x:c>
      <x:c r="I33" s="31" t="n">
        <x:v>442.45</x:v>
      </x:c>
      <x:c r="J33" s="9" t="n">
        <x:v>46297</x:v>
      </x:c>
      <x:c r="K33" s="10" t="str">
        <x:v>Open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2" t="str">
        <x:v>SIE.DE</x:v>
      </x:c>
      <x:c r="E34" s="2" t="str">
        <x:v>XETR</x:v>
      </x:c>
      <x:c r="F34" s="2" t="str">
        <x:v>EUR</x:v>
      </x:c>
      <x:c r="G34" s="15" t="n">
        <x:f>H17</x:f>
        <x:v>271.9</x:v>
      </x:c>
      <x:c r="H34" s="30" t="n">
        <x:v>276.1</x:v>
      </x:c>
      <x:c r="I34" s="30" t="n">
        <x:v>271.9</x:v>
      </x:c>
      <x:c r="J34" s="8" t="n">
        <x:v>46297</x:v>
      </x:c>
      <x:c r="K34" s="2" t="str">
        <x:v>Open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10" t="str">
        <x:v>NXPI</x:v>
      </x:c>
      <x:c r="E35" s="10" t="str">
        <x:v>XNAS</x:v>
      </x:c>
      <x:c r="F35" s="10" t="str">
        <x:v>USD</x:v>
      </x:c>
      <x:c r="G35" s="29" t="n">
        <x:f>H18</x:f>
        <x:v>239.19</x:v>
      </x:c>
      <x:c r="H35" s="31" t="n">
        <x:v>243.66</x:v>
      </x:c>
      <x:c r="I35" s="31" t="n">
        <x:v>239.19</x:v>
      </x:c>
      <x:c r="J35" s="9" t="n">
        <x:v>46297</x:v>
      </x:c>
      <x:c r="K35" s="10" t="str">
        <x:v>Open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2" t="str">
        <x:v>6383.T</x:v>
      </x:c>
      <x:c r="E36" s="2" t="str">
        <x:v>XJPX</x:v>
      </x:c>
      <x:c r="F36" s="2" t="str">
        <x:v>JPY</x:v>
      </x:c>
      <x:c r="G36" s="15" t="n">
        <x:f>H19</x:f>
        <x:v>5832</x:v>
      </x:c>
      <x:c r="H36" s="30" t="n">
        <x:v>5851</x:v>
      </x:c>
      <x:c r="I36" s="30" t="n">
        <x:v>5832</x:v>
      </x:c>
      <x:c r="J36" s="8" t="n">
        <x:v>46297</x:v>
      </x:c>
      <x:c r="K36" s="2" t="str">
        <x:v>Open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10" t="str">
        <x:v>HEXA-B.ST</x:v>
      </x:c>
      <x:c r="E37" s="10" t="str">
        <x:v>XSTO</x:v>
      </x:c>
      <x:c r="F37" s="10" t="str">
        <x:v>SEK</x:v>
      </x:c>
      <x:c r="G37" s="29" t="n">
        <x:f>H20</x:f>
        <x:v>99.02</x:v>
      </x:c>
      <x:c r="H37" s="31" t="n">
        <x:v>101.15</x:v>
      </x:c>
      <x:c r="I37" s="31" t="n">
        <x:v>99.02</x:v>
      </x:c>
      <x:c r="J37" s="9" t="n">
        <x:v>46297</x:v>
      </x:c>
      <x:c r="K37" s="10" t="str">
        <x:v>Open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2" t="str">
        <x:v>GSPC.INDX</x:v>
      </x:c>
      <x:c r="E38" s="2" t="str">
        <x:v>INDX</x:v>
      </x:c>
      <x:c r="F38" s="2" t="str">
        <x:v>USD</x:v>
      </x:c>
      <x:c r="G38" s="15" t="n">
        <x:f>H21</x:f>
        <x:v>7666.45</x:v>
      </x:c>
      <x:c r="H38" s="30" t="n">
        <x:v>7722.72</x:v>
      </x:c>
      <x:c r="I38" s="30" t="n">
        <x:v>7666.45</x:v>
      </x:c>
      <x:c r="J38" s="8" t="n">
        <x:v>46297</x:v>
      </x:c>
      <x:c r="K38" s="2" t="str">
        <x:v>Open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10" t="str">
        <x:v>IXIC.INDX</x:v>
      </x:c>
      <x:c r="E39" s="10" t="str">
        <x:v>INDX</x:v>
      </x:c>
      <x:c r="F39" s="10" t="str">
        <x:v>USD</x:v>
      </x:c>
      <x:c r="G39" s="29" t="n">
        <x:f>H22</x:f>
        <x:v>26871.5957</x:v>
      </x:c>
      <x:c r="H39" s="31" t="n">
        <x:v>27190.8594</x:v>
      </x:c>
      <x:c r="I39" s="31" t="n">
        <x:v>26871.5957</x:v>
      </x:c>
      <x:c r="J39" s="9" t="n">
        <x:v>46297</x:v>
      </x:c>
      <x:c r="K39" s="10" t="str">
        <x:v>Open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2" t="str">
        <x:v>6954.T</x:v>
      </x:c>
      <x:c r="E40" s="2" t="str">
        <x:v>XJPX</x:v>
      </x:c>
      <x:c r="F40" s="2" t="str">
        <x:v>JPY</x:v>
      </x:c>
      <x:c r="G40" s="15" t="n">
        <x:f>H23</x:f>
        <x:v>6075</x:v>
      </x:c>
      <x:c r="H40" s="30" t="n">
        <x:v>6186</x:v>
      </x:c>
      <x:c r="I40" s="30" t="n">
        <x:v>6127</x:v>
      </x:c>
      <x:c r="J40" s="8" t="n">
        <x:v>46300</x:v>
      </x:c>
      <x:c r="K40" s="2" t="str">
        <x:v>Open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10" t="str">
        <x:v>6506.T</x:v>
      </x:c>
      <x:c r="E41" s="10" t="str">
        <x:v>XJPX</x:v>
      </x:c>
      <x:c r="F41" s="10" t="str">
        <x:v>JPY</x:v>
      </x:c>
      <x:c r="G41" s="29" t="n">
        <x:f>H24</x:f>
        <x:v>4806</x:v>
      </x:c>
      <x:c r="H41" s="31" t="n">
        <x:v>4931</x:v>
      </x:c>
      <x:c r="I41" s="31" t="n">
        <x:v>4779</x:v>
      </x:c>
      <x:c r="J41" s="9" t="n">
        <x:v>46300</x:v>
      </x:c>
      <x:c r="K41" s="10" t="str">
        <x:v>Open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2" t="str">
        <x:v>002747.SZ</x:v>
      </x:c>
      <x:c r="E42" s="2" t="str">
        <x:v>XSHE</x:v>
      </x:c>
      <x:c r="F42" s="2" t="str">
        <x:v>CNY</x:v>
      </x:c>
      <x:c r="G42" s="15" t="n">
        <x:f>H25</x:f>
        <x:v>28.22</x:v>
      </x:c>
      <x:c r="H42" s="30" t="n">
        <x:v>28.22</x:v>
      </x:c>
      <x:c r="I42" s="30" t="n">
        <x:v>28.22</x:v>
      </x:c>
      <x:c r="J42" s="8" t="n">
        <x:v>46295</x:v>
      </x:c>
      <x:c r="K42" s="2" t="str">
        <x:v>Verified closure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10" t="str">
        <x:v>TER</x:v>
      </x:c>
      <x:c r="E43" s="10" t="str">
        <x:v>XNAS</x:v>
      </x:c>
      <x:c r="F43" s="10" t="str">
        <x:v>USD</x:v>
      </x:c>
      <x:c r="G43" s="29" t="n">
        <x:f>H26</x:f>
        <x:v>449.04</x:v>
      </x:c>
      <x:c r="H43" s="31" t="n">
        <x:v>444.53</x:v>
      </x:c>
      <x:c r="I43" s="31" t="n">
        <x:v>415.79</x:v>
      </x:c>
      <x:c r="J43" s="9" t="n">
        <x:v>46300</x:v>
      </x:c>
      <x:c r="K43" s="10" t="str">
        <x:v>Open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2" t="str">
        <x:v>6268.T</x:v>
      </x:c>
      <x:c r="E44" s="2" t="str">
        <x:v>XJPX</x:v>
      </x:c>
      <x:c r="F44" s="2" t="str">
        <x:v>JPY</x:v>
      </x:c>
      <x:c r="G44" s="15" t="n">
        <x:f>H27</x:f>
        <x:v>4926</x:v>
      </x:c>
      <x:c r="H44" s="30" t="n">
        <x:v>4979</x:v>
      </x:c>
      <x:c r="I44" s="30" t="n">
        <x:v>4975</x:v>
      </x:c>
      <x:c r="J44" s="8" t="n">
        <x:v>46300</x:v>
      </x:c>
      <x:c r="K44" s="2" t="str">
        <x:v>Open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10" t="str">
        <x:v>300124.SZ</x:v>
      </x:c>
      <x:c r="E45" s="10" t="str">
        <x:v>XSHE</x:v>
      </x:c>
      <x:c r="F45" s="10" t="str">
        <x:v>CNY</x:v>
      </x:c>
      <x:c r="G45" s="29" t="n">
        <x:f>H28</x:f>
        <x:v>51.9</x:v>
      </x:c>
      <x:c r="H45" s="31" t="n">
        <x:v>51.9</x:v>
      </x:c>
      <x:c r="I45" s="31" t="n">
        <x:v>51.9</x:v>
      </x:c>
      <x:c r="J45" s="9" t="n">
        <x:v>46295</x:v>
      </x:c>
      <x:c r="K45" s="10" t="str">
        <x:v>Verified closure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2" t="str">
        <x:v>6861.T</x:v>
      </x:c>
      <x:c r="E46" s="2" t="str">
        <x:v>XJPX</x:v>
      </x:c>
      <x:c r="F46" s="2" t="str">
        <x:v>JPY</x:v>
      </x:c>
      <x:c r="G46" s="15" t="n">
        <x:f>H29</x:f>
        <x:v>80270</x:v>
      </x:c>
      <x:c r="H46" s="30" t="n">
        <x:v>81680</x:v>
      </x:c>
      <x:c r="I46" s="30" t="n">
        <x:v>81200</x:v>
      </x:c>
      <x:c r="J46" s="8" t="n">
        <x:v>46300</x:v>
      </x:c>
      <x:c r="K46" s="2" t="str">
        <x:v>Open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10" t="str">
        <x:v>CGNX</x:v>
      </x:c>
      <x:c r="E47" s="10" t="str">
        <x:v>XNAS</x:v>
      </x:c>
      <x:c r="F47" s="10" t="str">
        <x:v>USD</x:v>
      </x:c>
      <x:c r="G47" s="29" t="n">
        <x:f>H30</x:f>
        <x:v>64.97</x:v>
      </x:c>
      <x:c r="H47" s="31" t="n">
        <x:v>64.37</x:v>
      </x:c>
      <x:c r="I47" s="31" t="n">
        <x:v>62.22</x:v>
      </x:c>
      <x:c r="J47" s="9" t="n">
        <x:v>46300</x:v>
      </x:c>
      <x:c r="K47" s="10" t="str">
        <x:v>Open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2" t="str">
        <x:v>OUST</x:v>
      </x:c>
      <x:c r="E48" s="2" t="str">
        <x:v>XNYS</x:v>
      </x:c>
      <x:c r="F48" s="2" t="str">
        <x:v>USD</x:v>
      </x:c>
      <x:c r="G48" s="15" t="n">
        <x:f>H31</x:f>
        <x:v>44.39</x:v>
      </x:c>
      <x:c r="H48" s="30" t="n">
        <x:v>44.12</x:v>
      </x:c>
      <x:c r="I48" s="30" t="n">
        <x:v>40.87</x:v>
      </x:c>
      <x:c r="J48" s="8" t="n">
        <x:v>46300</x:v>
      </x:c>
      <x:c r="K48" s="2" t="str">
        <x:v>Open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10" t="str">
        <x:v>HSAI</x:v>
      </x:c>
      <x:c r="E49" s="10" t="str">
        <x:v>XNAS</x:v>
      </x:c>
      <x:c r="F49" s="10" t="str">
        <x:v>USD</x:v>
      </x:c>
      <x:c r="G49" s="29" t="n">
        <x:f>H32</x:f>
        <x:v>15.38</x:v>
      </x:c>
      <x:c r="H49" s="31" t="n">
        <x:v>15.91</x:v>
      </x:c>
      <x:c r="I49" s="31" t="n">
        <x:v>15.93</x:v>
      </x:c>
      <x:c r="J49" s="9" t="n">
        <x:v>46300</x:v>
      </x:c>
      <x:c r="K49" s="10" t="str">
        <x:v>Open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2" t="str">
        <x:v>ROK</x:v>
      </x:c>
      <x:c r="E50" s="2" t="str">
        <x:v>XNYS</x:v>
      </x:c>
      <x:c r="F50" s="2" t="str">
        <x:v>USD</x:v>
      </x:c>
      <x:c r="G50" s="15" t="n">
        <x:f>H33</x:f>
        <x:v>454.35</x:v>
      </x:c>
      <x:c r="H50" s="30" t="n">
        <x:v>455.18</x:v>
      </x:c>
      <x:c r="I50" s="30" t="n">
        <x:v>442.45</x:v>
      </x:c>
      <x:c r="J50" s="8" t="n">
        <x:v>46300</x:v>
      </x:c>
      <x:c r="K50" s="2" t="str">
        <x:v>Open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10" t="str">
        <x:v>SIE.DE</x:v>
      </x:c>
      <x:c r="E51" s="10" t="str">
        <x:v>XETR</x:v>
      </x:c>
      <x:c r="F51" s="10" t="str">
        <x:v>EUR</x:v>
      </x:c>
      <x:c r="G51" s="29" t="n">
        <x:f>H34</x:f>
        <x:v>276.1</x:v>
      </x:c>
      <x:c r="H51" s="31" t="n">
        <x:v>275</x:v>
      </x:c>
      <x:c r="I51" s="31" t="n">
        <x:v>271.9</x:v>
      </x:c>
      <x:c r="J51" s="9" t="n">
        <x:v>46300</x:v>
      </x:c>
      <x:c r="K51" s="10" t="str">
        <x:v>Open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2" t="str">
        <x:v>NXPI</x:v>
      </x:c>
      <x:c r="E52" s="2" t="str">
        <x:v>XNAS</x:v>
      </x:c>
      <x:c r="F52" s="2" t="str">
        <x:v>USD</x:v>
      </x:c>
      <x:c r="G52" s="15" t="n">
        <x:f>H35</x:f>
        <x:v>243.66</x:v>
      </x:c>
      <x:c r="H52" s="30" t="n">
        <x:v>241.97</x:v>
      </x:c>
      <x:c r="I52" s="30" t="n">
        <x:v>239.19</x:v>
      </x:c>
      <x:c r="J52" s="8" t="n">
        <x:v>46300</x:v>
      </x:c>
      <x:c r="K52" s="2" t="str">
        <x:v>Open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10" t="str">
        <x:v>6383.T</x:v>
      </x:c>
      <x:c r="E53" s="10" t="str">
        <x:v>XJPX</x:v>
      </x:c>
      <x:c r="F53" s="10" t="str">
        <x:v>JPY</x:v>
      </x:c>
      <x:c r="G53" s="29" t="n">
        <x:f>H36</x:f>
        <x:v>5851</x:v>
      </x:c>
      <x:c r="H53" s="31" t="n">
        <x:v>5874</x:v>
      </x:c>
      <x:c r="I53" s="31" t="n">
        <x:v>5832</x:v>
      </x:c>
      <x:c r="J53" s="9" t="n">
        <x:v>46300</x:v>
      </x:c>
      <x:c r="K53" s="10" t="str">
        <x:v>Open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2" t="str">
        <x:v>HEXA-B.ST</x:v>
      </x:c>
      <x:c r="E54" s="2" t="str">
        <x:v>XSTO</x:v>
      </x:c>
      <x:c r="F54" s="2" t="str">
        <x:v>SEK</x:v>
      </x:c>
      <x:c r="G54" s="15" t="n">
        <x:f>H37</x:f>
        <x:v>101.15</x:v>
      </x:c>
      <x:c r="H54" s="30" t="n">
        <x:v>102.15</x:v>
      </x:c>
      <x:c r="I54" s="30" t="n">
        <x:v>99.02</x:v>
      </x:c>
      <x:c r="J54" s="8" t="n">
        <x:v>46300</x:v>
      </x:c>
      <x:c r="K54" s="2" t="str">
        <x:v>Open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10" t="str">
        <x:v>GSPC.INDX</x:v>
      </x:c>
      <x:c r="E55" s="10" t="str">
        <x:v>INDX</x:v>
      </x:c>
      <x:c r="F55" s="10" t="str">
        <x:v>USD</x:v>
      </x:c>
      <x:c r="G55" s="29" t="n">
        <x:f>H38</x:f>
        <x:v>7722.72</x:v>
      </x:c>
      <x:c r="H55" s="31" t="n">
        <x:v>7773.950195</x:v>
      </x:c>
      <x:c r="I55" s="31" t="n">
        <x:v>7666.45</x:v>
      </x:c>
      <x:c r="J55" s="9" t="n">
        <x:v>46300</x:v>
      </x:c>
      <x:c r="K55" s="10" t="str">
        <x:v>Open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2" t="str">
        <x:v>IXIC.INDX</x:v>
      </x:c>
      <x:c r="E56" s="2" t="str">
        <x:v>INDX</x:v>
      </x:c>
      <x:c r="F56" s="2" t="str">
        <x:v>USD</x:v>
      </x:c>
      <x:c r="G56" s="15" t="n">
        <x:f>H39</x:f>
        <x:v>27190.8594</x:v>
      </x:c>
      <x:c r="H56" s="30" t="n">
        <x:v>27477.310547</x:v>
      </x:c>
      <x:c r="I56" s="30" t="n">
        <x:v>26871.5957</x:v>
      </x:c>
      <x:c r="J56" s="8" t="n">
        <x:v>46300</x:v>
      </x:c>
      <x:c r="K56" s="2" t="str">
        <x:v>Open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10" t="str">
        <x:v>6954.T</x:v>
      </x:c>
      <x:c r="E57" s="10" t="str">
        <x:v>XJPX</x:v>
      </x:c>
      <x:c r="F57" s="10" t="str">
        <x:v>JPY</x:v>
      </x:c>
      <x:c r="G57" s="29" t="n">
        <x:f>H40</x:f>
        <x:v>6186</x:v>
      </x:c>
      <x:c r="H57" s="31" t="n">
        <x:v>6220</x:v>
      </x:c>
      <x:c r="I57" s="31" t="n">
        <x:v>6127</x:v>
      </x:c>
      <x:c r="J57" s="9" t="n">
        <x:v>46301</x:v>
      </x:c>
      <x:c r="K57" s="10" t="str">
        <x:v>Open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2" t="str">
        <x:v>6506.T</x:v>
      </x:c>
      <x:c r="E58" s="2" t="str">
        <x:v>XJPX</x:v>
      </x:c>
      <x:c r="F58" s="2" t="str">
        <x:v>JPY</x:v>
      </x:c>
      <x:c r="G58" s="15" t="n">
        <x:f>H41</x:f>
        <x:v>4931</x:v>
      </x:c>
      <x:c r="H58" s="30" t="n">
        <x:v>4936</x:v>
      </x:c>
      <x:c r="I58" s="30" t="n">
        <x:v>4779</x:v>
      </x:c>
      <x:c r="J58" s="8" t="n">
        <x:v>46301</x:v>
      </x:c>
      <x:c r="K58" s="2" t="str">
        <x:v>Open</x:v>
      </x:c>
    </x:row>
    <x:row r="59" ht="27" customHeight="1">
      <x:c r="A59" s="9" t="n">
        <x:v>46301</x:v>
      </x:c>
      <x:c r="B59" s="10" t="str">
        <x:v>Estun Automation</x:v>
      </x:c>
      <x:c r="C59" s="14" t="str">
        <x:v>002747</x:v>
      </x:c>
      <x:c r="D59" s="10" t="str">
        <x:v>002747.SZ</x:v>
      </x:c>
      <x:c r="E59" s="10" t="str">
        <x:v>XSHE</x:v>
      </x:c>
      <x:c r="F59" s="10" t="str">
        <x:v>CNY</x:v>
      </x:c>
      <x:c r="G59" s="29" t="n">
        <x:f>H42</x:f>
        <x:v>28.22</x:v>
      </x:c>
      <x:c r="H59" s="31" t="n">
        <x:v>28.22</x:v>
      </x:c>
      <x:c r="I59" s="31" t="n">
        <x:v>28.22</x:v>
      </x:c>
      <x:c r="J59" s="9" t="n">
        <x:v>46295</x:v>
      </x:c>
      <x:c r="K59" s="10" t="str">
        <x:v>Verified closure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2" t="str">
        <x:v>TER</x:v>
      </x:c>
      <x:c r="E60" s="2" t="str">
        <x:v>XNAS</x:v>
      </x:c>
      <x:c r="F60" s="2" t="str">
        <x:v>USD</x:v>
      </x:c>
      <x:c r="G60" s="15" t="n">
        <x:f>H43</x:f>
        <x:v>444.53</x:v>
      </x:c>
      <x:c r="H60" s="30" t="n">
        <x:v>430.32</x:v>
      </x:c>
      <x:c r="I60" s="30" t="n">
        <x:v>415.79</x:v>
      </x:c>
      <x:c r="J60" s="8" t="n">
        <x:v>46301</x:v>
      </x:c>
      <x:c r="K60" s="2" t="str">
        <x:v>Open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10" t="str">
        <x:v>6268.T</x:v>
      </x:c>
      <x:c r="E61" s="10" t="str">
        <x:v>XJPX</x:v>
      </x:c>
      <x:c r="F61" s="10" t="str">
        <x:v>JPY</x:v>
      </x:c>
      <x:c r="G61" s="29" t="n">
        <x:f>H44</x:f>
        <x:v>4979</x:v>
      </x:c>
      <x:c r="H61" s="31" t="n">
        <x:v>4987</x:v>
      </x:c>
      <x:c r="I61" s="31" t="n">
        <x:v>4975</x:v>
      </x:c>
      <x:c r="J61" s="9" t="n">
        <x:v>46301</x:v>
      </x:c>
      <x:c r="K61" s="10" t="str">
        <x:v>Open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2" t="str">
        <x:v>300124.SZ</x:v>
      </x:c>
      <x:c r="E62" s="2" t="str">
        <x:v>XSHE</x:v>
      </x:c>
      <x:c r="F62" s="2" t="str">
        <x:v>CNY</x:v>
      </x:c>
      <x:c r="G62" s="15" t="n">
        <x:f>H45</x:f>
        <x:v>51.9</x:v>
      </x:c>
      <x:c r="H62" s="30" t="n">
        <x:v>51.9</x:v>
      </x:c>
      <x:c r="I62" s="30" t="n">
        <x:v>51.9</x:v>
      </x:c>
      <x:c r="J62" s="8" t="n">
        <x:v>46295</x:v>
      </x:c>
      <x:c r="K62" s="2" t="str">
        <x:v>Verified closure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10" t="str">
        <x:v>6861.T</x:v>
      </x:c>
      <x:c r="E63" s="10" t="str">
        <x:v>XJPX</x:v>
      </x:c>
      <x:c r="F63" s="10" t="str">
        <x:v>JPY</x:v>
      </x:c>
      <x:c r="G63" s="29" t="n">
        <x:f>H46</x:f>
        <x:v>81680</x:v>
      </x:c>
      <x:c r="H63" s="31" t="n">
        <x:v>81490</x:v>
      </x:c>
      <x:c r="I63" s="31" t="n">
        <x:v>81200</x:v>
      </x:c>
      <x:c r="J63" s="9" t="n">
        <x:v>46301</x:v>
      </x:c>
      <x:c r="K63" s="10" t="str">
        <x:v>Open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2" t="str">
        <x:v>CGNX</x:v>
      </x:c>
      <x:c r="E64" s="2" t="str">
        <x:v>XNAS</x:v>
      </x:c>
      <x:c r="F64" s="2" t="str">
        <x:v>USD</x:v>
      </x:c>
      <x:c r="G64" s="15" t="n">
        <x:f>H47</x:f>
        <x:v>64.37</x:v>
      </x:c>
      <x:c r="H64" s="30" t="n">
        <x:v>66.35</x:v>
      </x:c>
      <x:c r="I64" s="30" t="n">
        <x:v>62.22</x:v>
      </x:c>
      <x:c r="J64" s="8" t="n">
        <x:v>46301</x:v>
      </x:c>
      <x:c r="K64" s="2" t="str">
        <x:v>Open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10" t="str">
        <x:v>OUST</x:v>
      </x:c>
      <x:c r="E65" s="10" t="str">
        <x:v>XNYS</x:v>
      </x:c>
      <x:c r="F65" s="10" t="str">
        <x:v>USD</x:v>
      </x:c>
      <x:c r="G65" s="29" t="n">
        <x:f>H48</x:f>
        <x:v>44.12</x:v>
      </x:c>
      <x:c r="H65" s="31" t="n">
        <x:v>44.91</x:v>
      </x:c>
      <x:c r="I65" s="31" t="n">
        <x:v>40.87</x:v>
      </x:c>
      <x:c r="J65" s="9" t="n">
        <x:v>46301</x:v>
      </x:c>
      <x:c r="K65" s="10" t="str">
        <x:v>Open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2" t="str">
        <x:v>HSAI</x:v>
      </x:c>
      <x:c r="E66" s="2" t="str">
        <x:v>XNAS</x:v>
      </x:c>
      <x:c r="F66" s="2" t="str">
        <x:v>USD</x:v>
      </x:c>
      <x:c r="G66" s="15" t="n">
        <x:f>H49</x:f>
        <x:v>15.91</x:v>
      </x:c>
      <x:c r="H66" s="30" t="n">
        <x:v>16.27</x:v>
      </x:c>
      <x:c r="I66" s="30" t="n">
        <x:v>15.93</x:v>
      </x:c>
      <x:c r="J66" s="8" t="n">
        <x:v>46301</x:v>
      </x:c>
      <x:c r="K66" s="2" t="str">
        <x:v>Open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10" t="str">
        <x:v>ROK</x:v>
      </x:c>
      <x:c r="E67" s="10" t="str">
        <x:v>XNYS</x:v>
      </x:c>
      <x:c r="F67" s="10" t="str">
        <x:v>USD</x:v>
      </x:c>
      <x:c r="G67" s="29" t="n">
        <x:f>H50</x:f>
        <x:v>455.18</x:v>
      </x:c>
      <x:c r="H67" s="31" t="n">
        <x:v>450.74</x:v>
      </x:c>
      <x:c r="I67" s="31" t="n">
        <x:v>442.45</x:v>
      </x:c>
      <x:c r="J67" s="9" t="n">
        <x:v>46301</x:v>
      </x:c>
      <x:c r="K67" s="10" t="str">
        <x:v>Open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2" t="str">
        <x:v>SIE.DE</x:v>
      </x:c>
      <x:c r="E68" s="2" t="str">
        <x:v>XETR</x:v>
      </x:c>
      <x:c r="F68" s="2" t="str">
        <x:v>EUR</x:v>
      </x:c>
      <x:c r="G68" s="15" t="n">
        <x:f>H51</x:f>
        <x:v>275</x:v>
      </x:c>
      <x:c r="H68" s="30" t="n">
        <x:v>279</x:v>
      </x:c>
      <x:c r="I68" s="30" t="n">
        <x:v>271.9</x:v>
      </x:c>
      <x:c r="J68" s="8" t="n">
        <x:v>46301</x:v>
      </x:c>
      <x:c r="K68" s="2" t="str">
        <x:v>Open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10" t="str">
        <x:v>NXPI</x:v>
      </x:c>
      <x:c r="E69" s="10" t="str">
        <x:v>XNAS</x:v>
      </x:c>
      <x:c r="F69" s="10" t="str">
        <x:v>USD</x:v>
      </x:c>
      <x:c r="G69" s="29" t="n">
        <x:f>H52</x:f>
        <x:v>241.97</x:v>
      </x:c>
      <x:c r="H69" s="31" t="n">
        <x:v>244.38</x:v>
      </x:c>
      <x:c r="I69" s="31" t="n">
        <x:v>239.19</x:v>
      </x:c>
      <x:c r="J69" s="9" t="n">
        <x:v>46301</x:v>
      </x:c>
      <x:c r="K69" s="10" t="str">
        <x:v>Open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2" t="str">
        <x:v>6383.T</x:v>
      </x:c>
      <x:c r="E70" s="2" t="str">
        <x:v>XJPX</x:v>
      </x:c>
      <x:c r="F70" s="2" t="str">
        <x:v>JPY</x:v>
      </x:c>
      <x:c r="G70" s="15" t="n">
        <x:f>H53</x:f>
        <x:v>5874</x:v>
      </x:c>
      <x:c r="H70" s="30" t="n">
        <x:v>5899</x:v>
      </x:c>
      <x:c r="I70" s="30" t="n">
        <x:v>5832</x:v>
      </x:c>
      <x:c r="J70" s="8" t="n">
        <x:v>46301</x:v>
      </x:c>
      <x:c r="K70" s="2" t="str">
        <x:v>Open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10" t="str">
        <x:v>HEXA-B.ST</x:v>
      </x:c>
      <x:c r="E71" s="10" t="str">
        <x:v>XSTO</x:v>
      </x:c>
      <x:c r="F71" s="10" t="str">
        <x:v>SEK</x:v>
      </x:c>
      <x:c r="G71" s="29" t="n">
        <x:f>H54</x:f>
        <x:v>102.15</x:v>
      </x:c>
      <x:c r="H71" s="31" t="n">
        <x:v>103.45</x:v>
      </x:c>
      <x:c r="I71" s="31" t="n">
        <x:v>99.02</x:v>
      </x:c>
      <x:c r="J71" s="9" t="n">
        <x:v>46301</x:v>
      </x:c>
      <x:c r="K71" s="10" t="str">
        <x:v>Open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2" t="str">
        <x:v>GSPC.INDX</x:v>
      </x:c>
      <x:c r="E72" s="2" t="str">
        <x:v>INDX</x:v>
      </x:c>
      <x:c r="F72" s="2" t="str">
        <x:v>USD</x:v>
      </x:c>
      <x:c r="G72" s="15" t="n">
        <x:f>H55</x:f>
        <x:v>7773.950195</x:v>
      </x:c>
      <x:c r="H72" s="30" t="n">
        <x:v>7818.930176</x:v>
      </x:c>
      <x:c r="I72" s="30" t="n">
        <x:v>7666.45</x:v>
      </x:c>
      <x:c r="J72" s="8" t="n">
        <x:v>46301</x:v>
      </x:c>
      <x:c r="K72" s="2" t="str">
        <x:v>Open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10" t="str">
        <x:v>IXIC.INDX</x:v>
      </x:c>
      <x:c r="E73" s="10" t="str">
        <x:v>INDX</x:v>
      </x:c>
      <x:c r="F73" s="10" t="str">
        <x:v>USD</x:v>
      </x:c>
      <x:c r="G73" s="29" t="n">
        <x:f>H56</x:f>
        <x:v>27477.310547</x:v>
      </x:c>
      <x:c r="H73" s="31" t="n">
        <x:v>27599.789063</x:v>
      </x:c>
      <x:c r="I73" s="31" t="n">
        <x:v>26871.5957</x:v>
      </x:c>
      <x:c r="J73" s="9" t="n">
        <x:v>46301</x:v>
      </x:c>
      <x:c r="K73" s="10" t="str">
        <x:v>Open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2" t="str">
        <x:v>6954.T</x:v>
      </x:c>
      <x:c r="E74" s="2" t="str">
        <x:v>XJPX</x:v>
      </x:c>
      <x:c r="F74" s="2" t="str">
        <x:v>JPY</x:v>
      </x:c>
      <x:c r="G74" s="15" t="n">
        <x:f>H57</x:f>
        <x:v>6220</x:v>
      </x:c>
      <x:c r="H74" s="30" t="n">
        <x:v>6164</x:v>
      </x:c>
      <x:c r="I74" s="30" t="n">
        <x:v>6127</x:v>
      </x:c>
      <x:c r="J74" s="8" t="n">
        <x:v>46302</x:v>
      </x:c>
      <x:c r="K74" s="2" t="str">
        <x:v>Open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10" t="str">
        <x:v>6506.T</x:v>
      </x:c>
      <x:c r="E75" s="10" t="str">
        <x:v>XJPX</x:v>
      </x:c>
      <x:c r="F75" s="10" t="str">
        <x:v>JPY</x:v>
      </x:c>
      <x:c r="G75" s="29" t="n">
        <x:f>H58</x:f>
        <x:v>4936</x:v>
      </x:c>
      <x:c r="H75" s="31" t="n">
        <x:v>4946</x:v>
      </x:c>
      <x:c r="I75" s="31" t="n">
        <x:v>4779</x:v>
      </x:c>
      <x:c r="J75" s="9" t="n">
        <x:v>46302</x:v>
      </x:c>
      <x:c r="K75" s="10" t="str">
        <x:v>Open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2" t="str">
        <x:v>002747.SZ</x:v>
      </x:c>
      <x:c r="E76" s="2" t="str">
        <x:v>XSHE</x:v>
      </x:c>
      <x:c r="F76" s="2" t="str">
        <x:v>CNY</x:v>
      </x:c>
      <x:c r="G76" s="15" t="n">
        <x:f>H59</x:f>
        <x:v>28.22</x:v>
      </x:c>
      <x:c r="H76" s="30" t="n">
        <x:v>28.22</x:v>
      </x:c>
      <x:c r="I76" s="30" t="n">
        <x:v>28.22</x:v>
      </x:c>
      <x:c r="J76" s="8" t="n">
        <x:v>46295</x:v>
      </x:c>
      <x:c r="K76" s="2" t="str">
        <x:v>Verified closure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10" t="str">
        <x:v>TER</x:v>
      </x:c>
      <x:c r="E77" s="10" t="str">
        <x:v>XNAS</x:v>
      </x:c>
      <x:c r="F77" s="10" t="str">
        <x:v>USD</x:v>
      </x:c>
      <x:c r="G77" s="29" t="n">
        <x:f>H60</x:f>
        <x:v>430.32</x:v>
      </x:c>
      <x:c r="H77" s="31" t="n">
        <x:v>411.78</x:v>
      </x:c>
      <x:c r="I77" s="31" t="n">
        <x:v>415.79</x:v>
      </x:c>
      <x:c r="J77" s="9" t="n">
        <x:v>46302</x:v>
      </x:c>
      <x:c r="K77" s="10" t="str">
        <x:v>Open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2" t="str">
        <x:v>6268.T</x:v>
      </x:c>
      <x:c r="E78" s="2" t="str">
        <x:v>XJPX</x:v>
      </x:c>
      <x:c r="F78" s="2" t="str">
        <x:v>JPY</x:v>
      </x:c>
      <x:c r="G78" s="15" t="n">
        <x:f>H61</x:f>
        <x:v>4987</x:v>
      </x:c>
      <x:c r="H78" s="30" t="n">
        <x:v>5010</x:v>
      </x:c>
      <x:c r="I78" s="30" t="n">
        <x:v>4975</x:v>
      </x:c>
      <x:c r="J78" s="8" t="n">
        <x:v>46302</x:v>
      </x:c>
      <x:c r="K78" s="2" t="str">
        <x:v>Open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10" t="str">
        <x:v>300124.SZ</x:v>
      </x:c>
      <x:c r="E79" s="10" t="str">
        <x:v>XSHE</x:v>
      </x:c>
      <x:c r="F79" s="10" t="str">
        <x:v>CNY</x:v>
      </x:c>
      <x:c r="G79" s="29" t="n">
        <x:f>H62</x:f>
        <x:v>51.9</x:v>
      </x:c>
      <x:c r="H79" s="31" t="n">
        <x:v>51.9</x:v>
      </x:c>
      <x:c r="I79" s="31" t="n">
        <x:v>51.9</x:v>
      </x:c>
      <x:c r="J79" s="9" t="n">
        <x:v>46295</x:v>
      </x:c>
      <x:c r="K79" s="10" t="str">
        <x:v>Verified closure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2" t="str">
        <x:v>6861.T</x:v>
      </x:c>
      <x:c r="E80" s="2" t="str">
        <x:v>XJPX</x:v>
      </x:c>
      <x:c r="F80" s="2" t="str">
        <x:v>JPY</x:v>
      </x:c>
      <x:c r="G80" s="15" t="n">
        <x:f>H63</x:f>
        <x:v>81490</x:v>
      </x:c>
      <x:c r="H80" s="30" t="n">
        <x:v>81560</x:v>
      </x:c>
      <x:c r="I80" s="30" t="n">
        <x:v>81200</x:v>
      </x:c>
      <x:c r="J80" s="8" t="n">
        <x:v>46302</x:v>
      </x:c>
      <x:c r="K80" s="2" t="str">
        <x:v>Open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10" t="str">
        <x:v>CGNX</x:v>
      </x:c>
      <x:c r="E81" s="10" t="str">
        <x:v>XNAS</x:v>
      </x:c>
      <x:c r="F81" s="10" t="str">
        <x:v>USD</x:v>
      </x:c>
      <x:c r="G81" s="29" t="n">
        <x:f>H64</x:f>
        <x:v>66.35</x:v>
      </x:c>
      <x:c r="H81" s="31" t="n">
        <x:v>61.21</x:v>
      </x:c>
      <x:c r="I81" s="31" t="n">
        <x:v>62.22</x:v>
      </x:c>
      <x:c r="J81" s="9" t="n">
        <x:v>46302</x:v>
      </x:c>
      <x:c r="K81" s="10" t="str">
        <x:v>Open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2" t="str">
        <x:v>OUST</x:v>
      </x:c>
      <x:c r="E82" s="2" t="str">
        <x:v>XNYS</x:v>
      </x:c>
      <x:c r="F82" s="2" t="str">
        <x:v>USD</x:v>
      </x:c>
      <x:c r="G82" s="15" t="n">
        <x:f>H65</x:f>
        <x:v>44.91</x:v>
      </x:c>
      <x:c r="H82" s="30" t="n">
        <x:v>41.67</x:v>
      </x:c>
      <x:c r="I82" s="30" t="n">
        <x:v>40.87</x:v>
      </x:c>
      <x:c r="J82" s="8" t="n">
        <x:v>46302</x:v>
      </x:c>
      <x:c r="K82" s="2" t="str">
        <x:v>Open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10" t="str">
        <x:v>HSAI</x:v>
      </x:c>
      <x:c r="E83" s="10" t="str">
        <x:v>XNAS</x:v>
      </x:c>
      <x:c r="F83" s="10" t="str">
        <x:v>USD</x:v>
      </x:c>
      <x:c r="G83" s="29" t="n">
        <x:f>H66</x:f>
        <x:v>16.27</x:v>
      </x:c>
      <x:c r="H83" s="31" t="n">
        <x:v>16</x:v>
      </x:c>
      <x:c r="I83" s="31" t="n">
        <x:v>15.93</x:v>
      </x:c>
      <x:c r="J83" s="9" t="n">
        <x:v>46302</x:v>
      </x:c>
      <x:c r="K83" s="10" t="str">
        <x:v>Open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2" t="str">
        <x:v>ROK</x:v>
      </x:c>
      <x:c r="E84" s="2" t="str">
        <x:v>XNYS</x:v>
      </x:c>
      <x:c r="F84" s="2" t="str">
        <x:v>USD</x:v>
      </x:c>
      <x:c r="G84" s="15" t="n">
        <x:f>H67</x:f>
        <x:v>450.74</x:v>
      </x:c>
      <x:c r="H84" s="30" t="n">
        <x:v>441.9</x:v>
      </x:c>
      <x:c r="I84" s="30" t="n">
        <x:v>442.45</x:v>
      </x:c>
      <x:c r="J84" s="8" t="n">
        <x:v>46302</x:v>
      </x:c>
      <x:c r="K84" s="2" t="str">
        <x:v>Open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10" t="str">
        <x:v>SIE.DE</x:v>
      </x:c>
      <x:c r="E85" s="10" t="str">
        <x:v>XETR</x:v>
      </x:c>
      <x:c r="F85" s="10" t="str">
        <x:v>EUR</x:v>
      </x:c>
      <x:c r="G85" s="29" t="n">
        <x:f>H68</x:f>
        <x:v>279</x:v>
      </x:c>
      <x:c r="H85" s="31" t="n">
        <x:v>271.2</x:v>
      </x:c>
      <x:c r="I85" s="31" t="n">
        <x:v>271.9</x:v>
      </x:c>
      <x:c r="J85" s="9" t="n">
        <x:v>46302</x:v>
      </x:c>
      <x:c r="K85" s="10" t="str">
        <x:v>Open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2" t="str">
        <x:v>NXPI</x:v>
      </x:c>
      <x:c r="E86" s="2" t="str">
        <x:v>XNAS</x:v>
      </x:c>
      <x:c r="F86" s="2" t="str">
        <x:v>USD</x:v>
      </x:c>
      <x:c r="G86" s="15" t="n">
        <x:f>H69</x:f>
        <x:v>244.38</x:v>
      </x:c>
      <x:c r="H86" s="30" t="n">
        <x:v>235.22</x:v>
      </x:c>
      <x:c r="I86" s="30" t="n">
        <x:v>239.19</x:v>
      </x:c>
      <x:c r="J86" s="8" t="n">
        <x:v>46302</x:v>
      </x:c>
      <x:c r="K86" s="2" t="str">
        <x:v>Open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10" t="str">
        <x:v>6383.T</x:v>
      </x:c>
      <x:c r="E87" s="10" t="str">
        <x:v>XJPX</x:v>
      </x:c>
      <x:c r="F87" s="10" t="str">
        <x:v>JPY</x:v>
      </x:c>
      <x:c r="G87" s="29" t="n">
        <x:f>H70</x:f>
        <x:v>5899</x:v>
      </x:c>
      <x:c r="H87" s="31" t="n">
        <x:v>5875</x:v>
      </x:c>
      <x:c r="I87" s="31" t="n">
        <x:v>5832</x:v>
      </x:c>
      <x:c r="J87" s="9" t="n">
        <x:v>46302</x:v>
      </x:c>
      <x:c r="K87" s="10" t="str">
        <x:v>Open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2" t="str">
        <x:v>HEXA-B.ST</x:v>
      </x:c>
      <x:c r="E88" s="2" t="str">
        <x:v>XSTO</x:v>
      </x:c>
      <x:c r="F88" s="2" t="str">
        <x:v>SEK</x:v>
      </x:c>
      <x:c r="G88" s="15" t="n">
        <x:f>H71</x:f>
        <x:v>103.45</x:v>
      </x:c>
      <x:c r="H88" s="30" t="n">
        <x:v>101.05</x:v>
      </x:c>
      <x:c r="I88" s="30" t="n">
        <x:v>99.02</x:v>
      </x:c>
      <x:c r="J88" s="8" t="n">
        <x:v>46302</x:v>
      </x:c>
      <x:c r="K88" s="2" t="str">
        <x:v>Open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10" t="str">
        <x:v>GSPC.INDX</x:v>
      </x:c>
      <x:c r="E89" s="10" t="str">
        <x:v>INDX</x:v>
      </x:c>
      <x:c r="F89" s="10" t="str">
        <x:v>USD</x:v>
      </x:c>
      <x:c r="G89" s="29" t="n">
        <x:f>H72</x:f>
        <x:v>7818.930176</x:v>
      </x:c>
      <x:c r="H89" s="31" t="n">
        <x:v>7801.77002</x:v>
      </x:c>
      <x:c r="I89" s="31" t="n">
        <x:v>7666.45</x:v>
      </x:c>
      <x:c r="J89" s="9" t="n">
        <x:v>46302</x:v>
      </x:c>
      <x:c r="K89" s="10" t="str">
        <x:v>Open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2" t="str">
        <x:v>IXIC.INDX</x:v>
      </x:c>
      <x:c r="E90" s="2" t="str">
        <x:v>INDX</x:v>
      </x:c>
      <x:c r="F90" s="2" t="str">
        <x:v>USD</x:v>
      </x:c>
      <x:c r="G90" s="15" t="n">
        <x:f>H73</x:f>
        <x:v>27599.789063</x:v>
      </x:c>
      <x:c r="H90" s="30" t="n">
        <x:v>27538.691406</x:v>
      </x:c>
      <x:c r="I90" s="30" t="n">
        <x:v>26871.5957</x:v>
      </x:c>
      <x:c r="J90" s="8" t="n">
        <x:v>46302</x:v>
      </x:c>
      <x:c r="K90" s="2" t="str">
        <x:v>Open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10" t="str">
        <x:v>6954.T</x:v>
      </x:c>
      <x:c r="E91" s="10" t="str">
        <x:v>XJPX</x:v>
      </x:c>
      <x:c r="F91" s="10" t="str">
        <x:v>JPY</x:v>
      </x:c>
      <x:c r="G91" s="29" t="n">
        <x:f>H74</x:f>
        <x:v>6164</x:v>
      </x:c>
      <x:c r="H91" s="31" t="n">
        <x:v>6019</x:v>
      </x:c>
      <x:c r="I91" s="31" t="n">
        <x:v>6127</x:v>
      </x:c>
      <x:c r="J91" s="9" t="n">
        <x:v>46303</x:v>
      </x:c>
      <x:c r="K91" s="10" t="str">
        <x:v>Open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2" t="str">
        <x:v>6506.T</x:v>
      </x:c>
      <x:c r="E92" s="2" t="str">
        <x:v>XJPX</x:v>
      </x:c>
      <x:c r="F92" s="2" t="str">
        <x:v>JPY</x:v>
      </x:c>
      <x:c r="G92" s="15" t="n">
        <x:f>H75</x:f>
        <x:v>4946</x:v>
      </x:c>
      <x:c r="H92" s="30" t="n">
        <x:v>4789</x:v>
      </x:c>
      <x:c r="I92" s="30" t="n">
        <x:v>4779</x:v>
      </x:c>
      <x:c r="J92" s="8" t="n">
        <x:v>46303</x:v>
      </x:c>
      <x:c r="K92" s="2" t="str">
        <x:v>Open</x:v>
      </x:c>
    </x:row>
    <x:row r="93" ht="27" customHeight="1">
      <x:c r="A93" s="9" t="n">
        <x:v>46303</x:v>
      </x:c>
      <x:c r="B93" s="10" t="str">
        <x:v>Estun Automation</x:v>
      </x:c>
      <x:c r="C93" s="14" t="str">
        <x:v>002747</x:v>
      </x:c>
      <x:c r="D93" s="10" t="str">
        <x:v>002747.SZ</x:v>
      </x:c>
      <x:c r="E93" s="10" t="str">
        <x:v>XSHE</x:v>
      </x:c>
      <x:c r="F93" s="10" t="str">
        <x:v>CNY</x:v>
      </x:c>
      <x:c r="G93" s="29" t="n">
        <x:f>H76</x:f>
        <x:v>28.22</x:v>
      </x:c>
      <x:c r="H93" s="31" t="n">
        <x:v>26.86</x:v>
      </x:c>
      <x:c r="I93" s="31" t="n">
        <x:v>28.22</x:v>
      </x:c>
      <x:c r="J93" s="9" t="n">
        <x:v>46303</x:v>
      </x:c>
      <x:c r="K93" s="10" t="str">
        <x:v>Open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2" t="str">
        <x:v>TER</x:v>
      </x:c>
      <x:c r="E94" s="2" t="str">
        <x:v>XNAS</x:v>
      </x:c>
      <x:c r="F94" s="2" t="str">
        <x:v>USD</x:v>
      </x:c>
      <x:c r="G94" s="15" t="n">
        <x:f>H77</x:f>
        <x:v>411.78</x:v>
      </x:c>
      <x:c r="H94" s="30" t="n">
        <x:v>398.72</x:v>
      </x:c>
      <x:c r="I94" s="30" t="n">
        <x:v>415.79</x:v>
      </x:c>
      <x:c r="J94" s="8" t="n">
        <x:v>46303</x:v>
      </x:c>
      <x:c r="K94" s="2" t="str">
        <x:v>Open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10" t="str">
        <x:v>6268.T</x:v>
      </x:c>
      <x:c r="E95" s="10" t="str">
        <x:v>XJPX</x:v>
      </x:c>
      <x:c r="F95" s="10" t="str">
        <x:v>JPY</x:v>
      </x:c>
      <x:c r="G95" s="29" t="n">
        <x:f>H78</x:f>
        <x:v>5010</x:v>
      </x:c>
      <x:c r="H95" s="31" t="n">
        <x:v>4795</x:v>
      </x:c>
      <x:c r="I95" s="31" t="n">
        <x:v>4975</x:v>
      </x:c>
      <x:c r="J95" s="9" t="n">
        <x:v>46303</x:v>
      </x:c>
      <x:c r="K95" s="10" t="str">
        <x:v>Open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2" t="str">
        <x:v>300124.SZ</x:v>
      </x:c>
      <x:c r="E96" s="2" t="str">
        <x:v>XSHE</x:v>
      </x:c>
      <x:c r="F96" s="2" t="str">
        <x:v>CNY</x:v>
      </x:c>
      <x:c r="G96" s="15" t="n">
        <x:f>H79</x:f>
        <x:v>51.9</x:v>
      </x:c>
      <x:c r="H96" s="30" t="n">
        <x:v>49.85</x:v>
      </x:c>
      <x:c r="I96" s="30" t="n">
        <x:v>51.9</x:v>
      </x:c>
      <x:c r="J96" s="8" t="n">
        <x:v>46303</x:v>
      </x:c>
      <x:c r="K96" s="2" t="str">
        <x:v>Open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10" t="str">
        <x:v>6861.T</x:v>
      </x:c>
      <x:c r="E97" s="10" t="str">
        <x:v>XJPX</x:v>
      </x:c>
      <x:c r="F97" s="10" t="str">
        <x:v>JPY</x:v>
      </x:c>
      <x:c r="G97" s="29" t="n">
        <x:f>H80</x:f>
        <x:v>81560</x:v>
      </x:c>
      <x:c r="H97" s="31" t="n">
        <x:v>80000</x:v>
      </x:c>
      <x:c r="I97" s="31" t="n">
        <x:v>81200</x:v>
      </x:c>
      <x:c r="J97" s="9" t="n">
        <x:v>46303</x:v>
      </x:c>
      <x:c r="K97" s="10" t="str">
        <x:v>Open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2" t="str">
        <x:v>CGNX</x:v>
      </x:c>
      <x:c r="E98" s="2" t="str">
        <x:v>XNAS</x:v>
      </x:c>
      <x:c r="F98" s="2" t="str">
        <x:v>USD</x:v>
      </x:c>
      <x:c r="G98" s="15" t="n">
        <x:f>H81</x:f>
        <x:v>61.21</x:v>
      </x:c>
      <x:c r="H98" s="30" t="n">
        <x:v>60.91</x:v>
      </x:c>
      <x:c r="I98" s="30" t="n">
        <x:v>62.22</x:v>
      </x:c>
      <x:c r="J98" s="8" t="n">
        <x:v>46303</x:v>
      </x:c>
      <x:c r="K98" s="2" t="str">
        <x:v>Open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10" t="str">
        <x:v>OUST</x:v>
      </x:c>
      <x:c r="E99" s="10" t="str">
        <x:v>XNYS</x:v>
      </x:c>
      <x:c r="F99" s="10" t="str">
        <x:v>USD</x:v>
      </x:c>
      <x:c r="G99" s="29" t="n">
        <x:f>H82</x:f>
        <x:v>41.67</x:v>
      </x:c>
      <x:c r="H99" s="31" t="n">
        <x:v>39.53</x:v>
      </x:c>
      <x:c r="I99" s="31" t="n">
        <x:v>40.87</x:v>
      </x:c>
      <x:c r="J99" s="9" t="n">
        <x:v>46303</x:v>
      </x:c>
      <x:c r="K99" s="10" t="str">
        <x:v>Open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2" t="str">
        <x:v>HSAI</x:v>
      </x:c>
      <x:c r="E100" s="2" t="str">
        <x:v>XNAS</x:v>
      </x:c>
      <x:c r="F100" s="2" t="str">
        <x:v>USD</x:v>
      </x:c>
      <x:c r="G100" s="15" t="n">
        <x:f>H83</x:f>
        <x:v>16</x:v>
      </x:c>
      <x:c r="H100" s="30" t="n">
        <x:v>15.61</x:v>
      </x:c>
      <x:c r="I100" s="30" t="n">
        <x:v>15.93</x:v>
      </x:c>
      <x:c r="J100" s="8" t="n">
        <x:v>46303</x:v>
      </x:c>
      <x:c r="K100" s="2" t="str">
        <x:v>Open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10" t="str">
        <x:v>ROK</x:v>
      </x:c>
      <x:c r="E101" s="10" t="str">
        <x:v>XNYS</x:v>
      </x:c>
      <x:c r="F101" s="10" t="str">
        <x:v>USD</x:v>
      </x:c>
      <x:c r="G101" s="29" t="n">
        <x:f>H84</x:f>
        <x:v>441.9</x:v>
      </x:c>
      <x:c r="H101" s="31" t="n">
        <x:v>434.14</x:v>
      </x:c>
      <x:c r="I101" s="31" t="n">
        <x:v>442.45</x:v>
      </x:c>
      <x:c r="J101" s="9" t="n">
        <x:v>46303</x:v>
      </x:c>
      <x:c r="K101" s="10" t="str">
        <x:v>Open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2" t="str">
        <x:v>SIE.DE</x:v>
      </x:c>
      <x:c r="E102" s="2" t="str">
        <x:v>XETR</x:v>
      </x:c>
      <x:c r="F102" s="2" t="str">
        <x:v>EUR</x:v>
      </x:c>
      <x:c r="G102" s="15" t="n">
        <x:f>H85</x:f>
        <x:v>271.2</x:v>
      </x:c>
      <x:c r="H102" s="30" t="n">
        <x:v>264.25</x:v>
      </x:c>
      <x:c r="I102" s="30" t="n">
        <x:v>271.9</x:v>
      </x:c>
      <x:c r="J102" s="8" t="n">
        <x:v>46303</x:v>
      </x:c>
      <x:c r="K102" s="2" t="str">
        <x:v>Open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10" t="str">
        <x:v>NXPI</x:v>
      </x:c>
      <x:c r="E103" s="10" t="str">
        <x:v>XNAS</x:v>
      </x:c>
      <x:c r="F103" s="10" t="str">
        <x:v>USD</x:v>
      </x:c>
      <x:c r="G103" s="29" t="n">
        <x:f>H86</x:f>
        <x:v>235.22</x:v>
      </x:c>
      <x:c r="H103" s="31" t="n">
        <x:v>231.07</x:v>
      </x:c>
      <x:c r="I103" s="31" t="n">
        <x:v>239.19</x:v>
      </x:c>
      <x:c r="J103" s="9" t="n">
        <x:v>46303</x:v>
      </x:c>
      <x:c r="K103" s="10" t="str">
        <x:v>Open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2" t="str">
        <x:v>6383.T</x:v>
      </x:c>
      <x:c r="E104" s="2" t="str">
        <x:v>XJPX</x:v>
      </x:c>
      <x:c r="F104" s="2" t="str">
        <x:v>JPY</x:v>
      </x:c>
      <x:c r="G104" s="15" t="n">
        <x:f>H87</x:f>
        <x:v>5875</x:v>
      </x:c>
      <x:c r="H104" s="30" t="n">
        <x:v>5716</x:v>
      </x:c>
      <x:c r="I104" s="30" t="n">
        <x:v>5832</x:v>
      </x:c>
      <x:c r="J104" s="8" t="n">
        <x:v>46303</x:v>
      </x:c>
      <x:c r="K104" s="2" t="str">
        <x:v>Open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10" t="str">
        <x:v>HEXA-B.ST</x:v>
      </x:c>
      <x:c r="E105" s="10" t="str">
        <x:v>XSTO</x:v>
      </x:c>
      <x:c r="F105" s="10" t="str">
        <x:v>SEK</x:v>
      </x:c>
      <x:c r="G105" s="29" t="n">
        <x:f>H88</x:f>
        <x:v>101.05</x:v>
      </x:c>
      <x:c r="H105" s="31" t="n">
        <x:v>101.25</x:v>
      </x:c>
      <x:c r="I105" s="31" t="n">
        <x:v>99.02</x:v>
      </x:c>
      <x:c r="J105" s="9" t="n">
        <x:v>46303</x:v>
      </x:c>
      <x:c r="K105" s="10" t="str">
        <x:v>Open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2" t="str">
        <x:v>GSPC.INDX</x:v>
      </x:c>
      <x:c r="E106" s="2" t="str">
        <x:v>INDX</x:v>
      </x:c>
      <x:c r="F106" s="2" t="str">
        <x:v>USD</x:v>
      </x:c>
      <x:c r="G106" s="15" t="n">
        <x:f>H89</x:f>
        <x:v>7801.77002</x:v>
      </x:c>
      <x:c r="H106" s="30" t="n">
        <x:v>7765.36</x:v>
      </x:c>
      <x:c r="I106" s="30" t="n">
        <x:v>7666.45</x:v>
      </x:c>
      <x:c r="J106" s="8" t="n">
        <x:v>46303</x:v>
      </x:c>
      <x:c r="K106" s="2" t="str">
        <x:v>Open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10" t="str">
        <x:v>IXIC.INDX</x:v>
      </x:c>
      <x:c r="E107" s="10" t="str">
        <x:v>INDX</x:v>
      </x:c>
      <x:c r="F107" s="10" t="str">
        <x:v>USD</x:v>
      </x:c>
      <x:c r="G107" s="29" t="n">
        <x:f>H90</x:f>
        <x:v>27538.691406</x:v>
      </x:c>
      <x:c r="H107" s="31" t="n">
        <x:v>27193.3398</x:v>
      </x:c>
      <x:c r="I107" s="31" t="n">
        <x:v>26871.5957</x:v>
      </x:c>
      <x:c r="J107" s="9" t="n">
        <x:v>46303</x:v>
      </x:c>
      <x:c r="K107" s="10" t="str">
        <x:v>Open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7f923e4047314d2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6" hidden="0" customWidth="1"/>
    <x:col min="4" max="4" width="21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Daily returns and contributions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Contributions use previous effective weights. Weights reset equally at quarterly reviews.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Previous weight</x:v>
      </x:c>
      <x:c r="E5" s="7" t="str">
        <x:v>Daily price return</x:v>
      </x:c>
      <x:c r="F5" s="7" t="str">
        <x:v>Contribution</x:v>
      </x:c>
      <x:c r="G5" s="7" t="str">
        <x:v>Closing weight</x:v>
      </x:c>
      <x:c r="H5" s="7" t="str">
        <x:v>Since launch return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18" t="n">
        <x:f>1/15</x:f>
        <x:v>0.06666666666666667</x:v>
      </x:c>
      <x:c r="E6" s="18"/>
      <x:c r="F6" s="18"/>
      <x:c r="G6" s="18" t="n">
        <x:f>1/15</x:f>
        <x:v>0.06666666666666667</x:v>
      </x:c>
      <x:c r="H6" s="20" t="n">
        <x:f>'Prices'!H6/'Prices'!I6-1</x:f>
        <x:v>0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19" t="n">
        <x:f>1/15</x:f>
        <x:v>0.06666666666666667</x:v>
      </x:c>
      <x:c r="E7" s="19"/>
      <x:c r="F7" s="19"/>
      <x:c r="G7" s="19" t="n">
        <x:f>1/15</x:f>
        <x:v>0.06666666666666667</x:v>
      </x:c>
      <x:c r="H7" s="21" t="n">
        <x:f>'Prices'!H7/'Prices'!I7-1</x:f>
        <x:v>0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18" t="n">
        <x:f>1/15</x:f>
        <x:v>0.06666666666666667</x:v>
      </x:c>
      <x:c r="E8" s="18"/>
      <x:c r="F8" s="18"/>
      <x:c r="G8" s="18" t="n">
        <x:f>1/15</x:f>
        <x:v>0.06666666666666667</x:v>
      </x:c>
      <x:c r="H8" s="20" t="n">
        <x:f>'Prices'!H8/'Prices'!I8-1</x:f>
        <x:v>0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19" t="n">
        <x:f>1/15</x:f>
        <x:v>0.06666666666666667</x:v>
      </x:c>
      <x:c r="E9" s="19"/>
      <x:c r="F9" s="19"/>
      <x:c r="G9" s="19" t="n">
        <x:f>1/15</x:f>
        <x:v>0.06666666666666667</x:v>
      </x:c>
      <x:c r="H9" s="21" t="n">
        <x:f>'Prices'!H9/'Prices'!I9-1</x:f>
        <x:v>0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18" t="n">
        <x:f>1/15</x:f>
        <x:v>0.06666666666666667</x:v>
      </x:c>
      <x:c r="E10" s="18"/>
      <x:c r="F10" s="18"/>
      <x:c r="G10" s="18" t="n">
        <x:f>1/15</x:f>
        <x:v>0.06666666666666667</x:v>
      </x:c>
      <x:c r="H10" s="20" t="n">
        <x:f>'Prices'!H10/'Prices'!I10-1</x:f>
        <x:v>0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19" t="n">
        <x:f>1/15</x:f>
        <x:v>0.06666666666666667</x:v>
      </x:c>
      <x:c r="E11" s="19"/>
      <x:c r="F11" s="19"/>
      <x:c r="G11" s="19" t="n">
        <x:f>1/15</x:f>
        <x:v>0.06666666666666667</x:v>
      </x:c>
      <x:c r="H11" s="21" t="n">
        <x:f>'Prices'!H11/'Prices'!I11-1</x:f>
        <x:v>0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18" t="n">
        <x:f>1/15</x:f>
        <x:v>0.06666666666666667</x:v>
      </x:c>
      <x:c r="E12" s="18"/>
      <x:c r="F12" s="18"/>
      <x:c r="G12" s="18" t="n">
        <x:f>1/15</x:f>
        <x:v>0.06666666666666667</x:v>
      </x:c>
      <x:c r="H12" s="20" t="n">
        <x:f>'Prices'!H12/'Prices'!I12-1</x:f>
        <x:v>0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19" t="n">
        <x:f>1/15</x:f>
        <x:v>0.06666666666666667</x:v>
      </x:c>
      <x:c r="E13" s="19"/>
      <x:c r="F13" s="19"/>
      <x:c r="G13" s="19" t="n">
        <x:f>1/15</x:f>
        <x:v>0.06666666666666667</x:v>
      </x:c>
      <x:c r="H13" s="21" t="n">
        <x:f>'Prices'!H13/'Prices'!I13-1</x:f>
        <x:v>0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18" t="n">
        <x:f>1/15</x:f>
        <x:v>0.06666666666666667</x:v>
      </x:c>
      <x:c r="E14" s="18"/>
      <x:c r="F14" s="18"/>
      <x:c r="G14" s="18" t="n">
        <x:f>1/15</x:f>
        <x:v>0.06666666666666667</x:v>
      </x:c>
      <x:c r="H14" s="20" t="n">
        <x:f>'Prices'!H14/'Prices'!I14-1</x:f>
        <x:v>0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19" t="n">
        <x:f>1/15</x:f>
        <x:v>0.06666666666666667</x:v>
      </x:c>
      <x:c r="E15" s="19"/>
      <x:c r="F15" s="19"/>
      <x:c r="G15" s="19" t="n">
        <x:f>1/15</x:f>
        <x:v>0.06666666666666667</x:v>
      </x:c>
      <x:c r="H15" s="21" t="n">
        <x:f>'Prices'!H15/'Prices'!I15-1</x:f>
        <x:v>0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18" t="n">
        <x:f>1/15</x:f>
        <x:v>0.06666666666666667</x:v>
      </x:c>
      <x:c r="E16" s="18"/>
      <x:c r="F16" s="18"/>
      <x:c r="G16" s="18" t="n">
        <x:f>1/15</x:f>
        <x:v>0.06666666666666667</x:v>
      </x:c>
      <x:c r="H16" s="20" t="n">
        <x:f>'Prices'!H16/'Prices'!I16-1</x:f>
        <x:v>0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19" t="n">
        <x:f>1/15</x:f>
        <x:v>0.06666666666666667</x:v>
      </x:c>
      <x:c r="E17" s="19"/>
      <x:c r="F17" s="19"/>
      <x:c r="G17" s="19" t="n">
        <x:f>1/15</x:f>
        <x:v>0.06666666666666667</x:v>
      </x:c>
      <x:c r="H17" s="21" t="n">
        <x:f>'Prices'!H17/'Prices'!I17-1</x:f>
        <x:v>0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18" t="n">
        <x:f>1/15</x:f>
        <x:v>0.06666666666666667</x:v>
      </x:c>
      <x:c r="E18" s="18"/>
      <x:c r="F18" s="18"/>
      <x:c r="G18" s="18" t="n">
        <x:f>1/15</x:f>
        <x:v>0.06666666666666667</x:v>
      </x:c>
      <x:c r="H18" s="20" t="n">
        <x:f>'Prices'!H18/'Prices'!I18-1</x:f>
        <x:v>0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19" t="n">
        <x:f>1/15</x:f>
        <x:v>0.06666666666666667</x:v>
      </x:c>
      <x:c r="E19" s="19"/>
      <x:c r="F19" s="19"/>
      <x:c r="G19" s="19" t="n">
        <x:f>1/15</x:f>
        <x:v>0.06666666666666667</x:v>
      </x:c>
      <x:c r="H19" s="21" t="n">
        <x:f>'Prices'!H19/'Prices'!I19-1</x:f>
        <x:v>0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18" t="n">
        <x:f>1/15</x:f>
        <x:v>0.06666666666666667</x:v>
      </x:c>
      <x:c r="E20" s="18"/>
      <x:c r="F20" s="18"/>
      <x:c r="G20" s="18" t="n">
        <x:f>1/15</x:f>
        <x:v>0.06666666666666667</x:v>
      </x:c>
      <x:c r="H20" s="20" t="n">
        <x:f>'Prices'!H20/'Prices'!I20-1</x:f>
        <x:v>0</x:v>
      </x:c>
    </x:row>
    <x:row r="21" ht="27" customHeight="1">
      <x:c r="A21" s="9" t="n">
        <x:v>46297</x:v>
      </x:c>
      <x:c r="B21" s="10" t="str">
        <x:v>FANUC</x:v>
      </x:c>
      <x:c r="C21" s="10" t="str">
        <x:v>6954</x:v>
      </x:c>
      <x:c r="D21" s="19" t="n">
        <x:f>G6</x:f>
        <x:v>0.06666666666666667</x:v>
      </x:c>
      <x:c r="E21" s="21" t="n">
        <x:f>'Prices'!H23/'Prices'!G23-1</x:f>
        <x:v>-0.00848702464501383</x:v>
      </x:c>
      <x:c r="F21" s="19" t="n">
        <x:f>D21*E21</x:f>
        <x:v>-0.0005658016430009219</x:v>
      </x:c>
      <x:c r="G21" s="19" t="n">
        <x:f>D21*(1+E21)/(1+SUM($F$21:$F$35))</x:f>
        <x:v>0.06507089465214738</x:v>
      </x:c>
      <x:c r="H21" s="21" t="n">
        <x:f>'Prices'!H23/'Prices'!I23-1</x:f>
        <x:v>-0.00848702464501383</x:v>
      </x:c>
    </x:row>
    <x:row r="22" ht="27" customHeight="1">
      <x:c r="A22" s="8" t="n">
        <x:v>46297</x:v>
      </x:c>
      <x:c r="B22" s="2" t="str">
        <x:v>Yaskawa Electric</x:v>
      </x:c>
      <x:c r="C22" s="2" t="str">
        <x:v>6506</x:v>
      </x:c>
      <x:c r="D22" s="18" t="n">
        <x:f>G7</x:f>
        <x:v>0.06666666666666667</x:v>
      </x:c>
      <x:c r="E22" s="20" t="n">
        <x:f>'Prices'!H24/'Prices'!G24-1</x:f>
        <x:v>0.005649717514124353</x:v>
      </x:c>
      <x:c r="F22" s="18" t="n">
        <x:f>D22*E22</x:f>
        <x:v>0.00037664783427495687</x:v>
      </x:c>
      <x:c r="G22" s="18" t="n">
        <x:f>D22*(1+E22)/(1+SUM($F$21:$F$35))</x:f>
        <x:v>0.0659986590714002</x:v>
      </x:c>
      <x:c r="H22" s="20" t="n">
        <x:f>'Prices'!H24/'Prices'!I24-1</x:f>
        <x:v>0.005649717514124353</x:v>
      </x:c>
    </x:row>
    <x:row r="23" ht="27" customHeight="1">
      <x:c r="A23" s="9" t="n">
        <x:v>46297</x:v>
      </x:c>
      <x:c r="B23" s="10" t="str">
        <x:v>Estun Automation</x:v>
      </x:c>
      <x:c r="C23" s="14" t="str">
        <x:v>002747</x:v>
      </x:c>
      <x:c r="D23" s="19" t="n">
        <x:f>G8</x:f>
        <x:v>0.06666666666666667</x:v>
      </x:c>
      <x:c r="E23" s="21" t="n">
        <x:f>'Prices'!H25/'Prices'!G25-1</x:f>
        <x:v>0</x:v>
      </x:c>
      <x:c r="F23" s="19" t="n">
        <x:f>D23*E23</x:f>
        <x:v>0</x:v>
      </x:c>
      <x:c r="G23" s="19" t="n">
        <x:f>D23*(1+E23)/(1+SUM($F$21:$F$35))</x:f>
        <x:v>0.065627880087853</x:v>
      </x:c>
      <x:c r="H23" s="21" t="n">
        <x:f>'Prices'!H25/'Prices'!I25-1</x:f>
        <x:v>0</x:v>
      </x:c>
    </x:row>
    <x:row r="24" ht="27" customHeight="1">
      <x:c r="A24" s="8" t="n">
        <x:v>46297</x:v>
      </x:c>
      <x:c r="B24" s="2" t="str">
        <x:v>Teradyne</x:v>
      </x:c>
      <x:c r="C24" s="2" t="str">
        <x:v>TER</x:v>
      </x:c>
      <x:c r="D24" s="18" t="n">
        <x:f>G9</x:f>
        <x:v>0.06666666666666667</x:v>
      </x:c>
      <x:c r="E24" s="20" t="n">
        <x:f>'Prices'!H26/'Prices'!G26-1</x:f>
        <x:v>0.07996825320474277</x:v>
      </x:c>
      <x:c r="F24" s="18" t="n">
        <x:f>D24*E24</x:f>
        <x:v>0.005331216880316184</x:v>
      </x:c>
      <x:c r="G24" s="18" t="n">
        <x:f>D24*(1+E24)/(1+SUM($F$21:$F$35))</x:f>
        <x:v>0.07087602702000892</x:v>
      </x:c>
      <x:c r="H24" s="20" t="n">
        <x:f>'Prices'!H26/'Prices'!I26-1</x:f>
        <x:v>0.07996825320474277</x:v>
      </x:c>
    </x:row>
    <x:row r="25" ht="27" customHeight="1">
      <x:c r="A25" s="9" t="n">
        <x:v>46297</x:v>
      </x:c>
      <x:c r="B25" s="10" t="str">
        <x:v>Nabtesco</x:v>
      </x:c>
      <x:c r="C25" s="10" t="str">
        <x:v>6268</x:v>
      </x:c>
      <x:c r="D25" s="19" t="n">
        <x:f>G10</x:f>
        <x:v>0.06666666666666667</x:v>
      </x:c>
      <x:c r="E25" s="21" t="n">
        <x:f>'Prices'!H27/'Prices'!G27-1</x:f>
        <x:v>-0.009849246231155795</x:v>
      </x:c>
      <x:c r="F25" s="19" t="n">
        <x:f>D25*E25</x:f>
        <x:v>-0.0006566164154103863</x:v>
      </x:c>
      <x:c r="G25" s="19" t="n">
        <x:f>D25*(1+E25)/(1+SUM($F$21:$F$35))</x:f>
        <x:v>0.06498149493723897</x:v>
      </x:c>
      <x:c r="H25" s="21" t="n">
        <x:f>'Prices'!H27/'Prices'!I27-1</x:f>
        <x:v>-0.009849246231155795</x:v>
      </x:c>
    </x:row>
    <x:row r="26" ht="27" customHeight="1">
      <x:c r="A26" s="8" t="n">
        <x:v>46297</x:v>
      </x:c>
      <x:c r="B26" s="2" t="str">
        <x:v>Inovance</x:v>
      </x:c>
      <x:c r="C26" s="2" t="str">
        <x:v>300124</x:v>
      </x:c>
      <x:c r="D26" s="18" t="n">
        <x:f>G11</x:f>
        <x:v>0.06666666666666667</x:v>
      </x:c>
      <x:c r="E26" s="20" t="n">
        <x:f>'Prices'!H28/'Prices'!G28-1</x:f>
        <x:v>0</x:v>
      </x:c>
      <x:c r="F26" s="18" t="n">
        <x:f>D26*E26</x:f>
        <x:v>0</x:v>
      </x:c>
      <x:c r="G26" s="18" t="n">
        <x:f>D26*(1+E26)/(1+SUM($F$21:$F$35))</x:f>
        <x:v>0.065627880087853</x:v>
      </x:c>
      <x:c r="H26" s="20" t="n">
        <x:f>'Prices'!H28/'Prices'!I28-1</x:f>
        <x:v>0</x:v>
      </x:c>
    </x:row>
    <x:row r="27" ht="27" customHeight="1">
      <x:c r="A27" s="9" t="n">
        <x:v>46297</x:v>
      </x:c>
      <x:c r="B27" s="10" t="str">
        <x:v>Keyence</x:v>
      </x:c>
      <x:c r="C27" s="10" t="str">
        <x:v>6861</x:v>
      </x:c>
      <x:c r="D27" s="19" t="n">
        <x:f>G12</x:f>
        <x:v>0.06666666666666667</x:v>
      </x:c>
      <x:c r="E27" s="21" t="n">
        <x:f>'Prices'!H29/'Prices'!G29-1</x:f>
        <x:v>-0.011453201970443305</x:v>
      </x:c>
      <x:c r="F27" s="19" t="n">
        <x:f>D27*E27</x:f>
        <x:v>-0.0007635467980295537</x:v>
      </x:c>
      <x:c r="G27" s="19" t="n">
        <x:f>D27*(1+E27)/(1+SUM($F$21:$F$35))</x:f>
        <x:v>0.0648762307223148</x:v>
      </x:c>
      <x:c r="H27" s="21" t="n">
        <x:f>'Prices'!H29/'Prices'!I29-1</x:f>
        <x:v>-0.011453201970443305</x:v>
      </x:c>
    </x:row>
    <x:row r="28" ht="27" customHeight="1">
      <x:c r="A28" s="8" t="n">
        <x:v>46297</x:v>
      </x:c>
      <x:c r="B28" s="2" t="str">
        <x:v>Cognex</x:v>
      </x:c>
      <x:c r="C28" s="2" t="str">
        <x:v>CGNX</x:v>
      </x:c>
      <x:c r="D28" s="18" t="n">
        <x:f>G13</x:f>
        <x:v>0.06666666666666667</x:v>
      </x:c>
      <x:c r="E28" s="20" t="n">
        <x:f>'Prices'!H30/'Prices'!G30-1</x:f>
        <x:v>0.0441980070716812</x:v>
      </x:c>
      <x:c r="F28" s="18" t="n">
        <x:f>D28*E28</x:f>
        <x:v>0.0029465338047787466</x:v>
      </x:c>
      <x:c r="G28" s="18" t="n">
        <x:f>D28*(1+E28)/(1+SUM($F$21:$F$35))</x:f>
        <x:v>0.06852850159607538</x:v>
      </x:c>
      <x:c r="H28" s="20" t="n">
        <x:f>'Prices'!H30/'Prices'!I30-1</x:f>
        <x:v>0.0441980070716812</x:v>
      </x:c>
    </x:row>
    <x:row r="29" ht="27" customHeight="1">
      <x:c r="A29" s="9" t="n">
        <x:v>46297</x:v>
      </x:c>
      <x:c r="B29" s="10" t="str">
        <x:v>Ouster</x:v>
      </x:c>
      <x:c r="C29" s="10" t="str">
        <x:v>OUST</x:v>
      </x:c>
      <x:c r="D29" s="19" t="n">
        <x:f>G14</x:f>
        <x:v>0.06666666666666667</x:v>
      </x:c>
      <x:c r="E29" s="21" t="n">
        <x:f>'Prices'!H31/'Prices'!G31-1</x:f>
        <x:v>0.08612674333251791</x:v>
      </x:c>
      <x:c r="F29" s="19" t="n">
        <x:f>D29*E29</x:f>
        <x:v>0.005741782888834527</x:v>
      </x:c>
      <x:c r="G29" s="19" t="n">
        <x:f>D29*(1+E29)/(1+SUM($F$21:$F$35))</x:f>
        <x:v>0.07128019567163678</x:v>
      </x:c>
      <x:c r="H29" s="21" t="n">
        <x:f>'Prices'!H31/'Prices'!I31-1</x:f>
        <x:v>0.08612674333251791</x:v>
      </x:c>
    </x:row>
    <x:row r="30" ht="27" customHeight="1">
      <x:c r="A30" s="8" t="n">
        <x:v>46297</x:v>
      </x:c>
      <x:c r="B30" s="2" t="str">
        <x:v>Hesai</x:v>
      </x:c>
      <x:c r="C30" s="2" t="str">
        <x:v>HSAI</x:v>
      </x:c>
      <x:c r="D30" s="18" t="n">
        <x:f>G15</x:f>
        <x:v>0.06666666666666667</x:v>
      </x:c>
      <x:c r="E30" s="20" t="n">
        <x:f>'Prices'!H32/'Prices'!G32-1</x:f>
        <x:v>-0.034526051475203934</x:v>
      </x:c>
      <x:c r="F30" s="18" t="n">
        <x:f>D30*E30</x:f>
        <x:v>-0.0023017367650135954</x:v>
      </x:c>
      <x:c r="G30" s="18" t="n">
        <x:f>D30*(1+E30)/(1+SUM($F$21:$F$35))</x:f>
        <x:v>0.06336200852173128</x:v>
      </x:c>
      <x:c r="H30" s="20" t="n">
        <x:f>'Prices'!H32/'Prices'!I32-1</x:f>
        <x:v>-0.034526051475203934</x:v>
      </x:c>
    </x:row>
    <x:row r="31" ht="27" customHeight="1">
      <x:c r="A31" s="9" t="n">
        <x:v>46297</x:v>
      </x:c>
      <x:c r="B31" s="10" t="str">
        <x:v>Rockwell Automation</x:v>
      </x:c>
      <x:c r="C31" s="10" t="str">
        <x:v>ROK</x:v>
      </x:c>
      <x:c r="D31" s="19" t="n">
        <x:f>G16</x:f>
        <x:v>0.06666666666666667</x:v>
      </x:c>
      <x:c r="E31" s="21" t="n">
        <x:f>'Prices'!H33/'Prices'!G33-1</x:f>
        <x:v>0.026895694428749062</x:v>
      </x:c>
      <x:c r="F31" s="19" t="n">
        <x:f>D31*E31</x:f>
        <x:v>0.0017930462952499375</x:v>
      </x:c>
      <x:c r="G31" s="19" t="n">
        <x:f>D31*(1+E31)/(1+SUM($F$21:$F$35))</x:f>
        <x:v>0.06739298749670249</x:v>
      </x:c>
      <x:c r="H31" s="21" t="n">
        <x:f>'Prices'!H33/'Prices'!I33-1</x:f>
        <x:v>0.026895694428749062</x:v>
      </x:c>
    </x:row>
    <x:row r="32" ht="27" customHeight="1">
      <x:c r="A32" s="8" t="n">
        <x:v>46297</x:v>
      </x:c>
      <x:c r="B32" s="2" t="str">
        <x:v>Siemens</x:v>
      </x:c>
      <x:c r="C32" s="2" t="str">
        <x:v>SIE</x:v>
      </x:c>
      <x:c r="D32" s="18" t="n">
        <x:f>G17</x:f>
        <x:v>0.06666666666666667</x:v>
      </x:c>
      <x:c r="E32" s="20" t="n">
        <x:f>'Prices'!H34/'Prices'!G34-1</x:f>
        <x:v>0.015446855461566988</x:v>
      </x:c>
      <x:c r="F32" s="18" t="n">
        <x:f>D32*E32</x:f>
        <x:v>0.0010297903641044658</x:v>
      </x:c>
      <x:c r="G32" s="18" t="n">
        <x:f>D32*(1+E32)/(1+SUM($F$21:$F$35))</x:f>
        <x:v>0.06664162446581913</x:v>
      </x:c>
      <x:c r="H32" s="20" t="n">
        <x:f>'Prices'!H34/'Prices'!I34-1</x:f>
        <x:v>0.015446855461566988</x:v>
      </x:c>
    </x:row>
    <x:row r="33" ht="27" customHeight="1">
      <x:c r="A33" s="9" t="n">
        <x:v>46297</x:v>
      </x:c>
      <x:c r="B33" s="10" t="str">
        <x:v>NXP Semiconductors</x:v>
      </x:c>
      <x:c r="C33" s="10" t="str">
        <x:v>NXPI</x:v>
      </x:c>
      <x:c r="D33" s="19" t="n">
        <x:f>G18</x:f>
        <x:v>0.06666666666666667</x:v>
      </x:c>
      <x:c r="E33" s="21" t="n">
        <x:f>'Prices'!H35/'Prices'!G35-1</x:f>
        <x:v>0.018688072243822962</x:v>
      </x:c>
      <x:c r="F33" s="19" t="n">
        <x:f>D33*E33</x:f>
        <x:v>0.0012458714829215308</x:v>
      </x:c>
      <x:c r="G33" s="19" t="n">
        <x:f>D33*(1+E33)/(1+SUM($F$21:$F$35))</x:f>
        <x:v>0.06685433865214375</x:v>
      </x:c>
      <x:c r="H33" s="21" t="n">
        <x:f>'Prices'!H35/'Prices'!I35-1</x:f>
        <x:v>0.018688072243822962</x:v>
      </x:c>
    </x:row>
    <x:row r="34" ht="27" customHeight="1">
      <x:c r="A34" s="8" t="n">
        <x:v>46297</x:v>
      </x:c>
      <x:c r="B34" s="2" t="str">
        <x:v>Daifuku</x:v>
      </x:c>
      <x:c r="C34" s="2" t="str">
        <x:v>6383</x:v>
      </x:c>
      <x:c r="D34" s="18" t="n">
        <x:f>G19</x:f>
        <x:v>0.06666666666666667</x:v>
      </x:c>
      <x:c r="E34" s="20" t="n">
        <x:f>'Prices'!H36/'Prices'!G36-1</x:f>
        <x:v>0.003257887517146729</x:v>
      </x:c>
      <x:c r="F34" s="18" t="n">
        <x:f>D34*E34</x:f>
        <x:v>0.00021719250114311526</x:v>
      </x:c>
      <x:c r="G34" s="18" t="n">
        <x:f>D34*(1+E34)/(1+SUM($F$21:$F$35))</x:f>
        <x:v>0.06584168833916802</x:v>
      </x:c>
      <x:c r="H34" s="20" t="n">
        <x:f>'Prices'!H36/'Prices'!I36-1</x:f>
        <x:v>0.003257887517146729</x:v>
      </x:c>
    </x:row>
    <x:row r="35" ht="27" customHeight="1">
      <x:c r="A35" s="9" t="n">
        <x:v>46297</x:v>
      </x:c>
      <x:c r="B35" s="10" t="str">
        <x:v>Hexagon</x:v>
      </x:c>
      <x:c r="C35" s="10" t="str">
        <x:v>HEXA B</x:v>
      </x:c>
      <x:c r="D35" s="19" t="n">
        <x:f>G20</x:f>
        <x:v>0.06666666666666667</x:v>
      </x:c>
      <x:c r="E35" s="21" t="n">
        <x:f>'Prices'!H37/'Prices'!G37-1</x:f>
        <x:v>0.021510805897798413</x:v>
      </x:c>
      <x:c r="F35" s="19" t="n">
        <x:f>D35*E35</x:f>
        <x:v>0.0014340537265198942</x:v>
      </x:c>
      <x:c r="G35" s="19" t="n">
        <x:f>D35*(1+E35)/(1+SUM($F$21:$F$35))</x:f>
        <x:v>0.0670395886779068</x:v>
      </x:c>
      <x:c r="H35" s="21" t="n">
        <x:f>'Prices'!H37/'Prices'!I37-1</x:f>
        <x:v>0.021510805897798413</x:v>
      </x:c>
    </x:row>
    <x:row r="36" ht="27" customHeight="1">
      <x:c r="A36" s="8" t="n">
        <x:v>46300</x:v>
      </x:c>
      <x:c r="B36" s="2" t="str">
        <x:v>FANUC</x:v>
      </x:c>
      <x:c r="C36" s="2" t="str">
        <x:v>6954</x:v>
      </x:c>
      <x:c r="D36" s="18" t="n">
        <x:f>G21</x:f>
        <x:v>0.06507089465214738</x:v>
      </x:c>
      <x:c r="E36" s="20" t="n">
        <x:f>'Prices'!H40/'Prices'!G40-1</x:f>
        <x:v>0.018271604938271624</x:v>
      </x:c>
      <x:c r="F36" s="18" t="n">
        <x:f>D36*E36</x:f>
        <x:v>0.0011889496800639287</x:v>
      </x:c>
      <x:c r="G36" s="18" t="n">
        <x:f>D36*(1+E36)/(1+SUM($F$36:$F$50))</x:f>
        <x:v>0.06589970397636324</x:v>
      </x:c>
      <x:c r="H36" s="20" t="n">
        <x:f>'Prices'!H40/'Prices'!I40-1</x:f>
        <x:v>0.009629508731842762</x:v>
      </x:c>
    </x:row>
    <x:row r="37" ht="27" customHeight="1">
      <x:c r="A37" s="9" t="n">
        <x:v>46300</x:v>
      </x:c>
      <x:c r="B37" s="10" t="str">
        <x:v>Yaskawa Electric</x:v>
      </x:c>
      <x:c r="C37" s="10" t="str">
        <x:v>6506</x:v>
      </x:c>
      <x:c r="D37" s="19" t="n">
        <x:f>G22</x:f>
        <x:v>0.0659986590714002</x:v>
      </x:c>
      <x:c r="E37" s="21" t="n">
        <x:f>'Prices'!H41/'Prices'!G41-1</x:f>
        <x:v>0.02600915522263847</x:v>
      </x:c>
      <x:c r="F37" s="19" t="n">
        <x:f>D37*E37</x:f>
        <x:v>0.0017165693682740445</x:v>
      </x:c>
      <x:c r="G37" s="19" t="n">
        <x:f>D37*(1+E37)/(1+SUM($F$36:$F$50))</x:f>
        <x:v>0.06734717767359749</x:v>
      </x:c>
      <x:c r="H37" s="21" t="n">
        <x:f>'Prices'!H41/'Prices'!I41-1</x:f>
        <x:v>0.031805817116551616</x:v>
      </x:c>
    </x:row>
    <x:row r="38" ht="27" customHeight="1">
      <x:c r="A38" s="8" t="n">
        <x:v>46300</x:v>
      </x:c>
      <x:c r="B38" s="2" t="str">
        <x:v>Estun Automation</x:v>
      </x:c>
      <x:c r="C38" s="13" t="str">
        <x:v>002747</x:v>
      </x:c>
      <x:c r="D38" s="18" t="n">
        <x:f>G23</x:f>
        <x:v>0.065627880087853</x:v>
      </x:c>
      <x:c r="E38" s="20" t="n">
        <x:f>'Prices'!H42/'Prices'!G42-1</x:f>
        <x:v>0</x:v>
      </x:c>
      <x:c r="F38" s="18" t="n">
        <x:f>D38*E38</x:f>
        <x:v>0</x:v>
      </x:c>
      <x:c r="G38" s="18" t="n">
        <x:f>D38*(1+E38)/(1+SUM($F$36:$F$50))</x:f>
        <x:v>0.06527117463032292</x:v>
      </x:c>
      <x:c r="H38" s="20" t="n">
        <x:f>'Prices'!H42/'Prices'!I42-1</x:f>
        <x:v>0</x:v>
      </x:c>
    </x:row>
    <x:row r="39" ht="27" customHeight="1">
      <x:c r="A39" s="9" t="n">
        <x:v>46300</x:v>
      </x:c>
      <x:c r="B39" s="10" t="str">
        <x:v>Teradyne</x:v>
      </x:c>
      <x:c r="C39" s="10" t="str">
        <x:v>TER</x:v>
      </x:c>
      <x:c r="D39" s="19" t="n">
        <x:f>G24</x:f>
        <x:v>0.07087602702000892</x:v>
      </x:c>
      <x:c r="E39" s="21" t="n">
        <x:f>'Prices'!H43/'Prices'!G43-1</x:f>
        <x:v>-0.010043648672724115</x:v>
      </x:c>
      <x:c r="F39" s="19" t="n">
        <x:f>D39*E39</x:f>
        <x:v>-0.000711853914707471</x:v>
      </x:c>
      <x:c r="G39" s="19" t="n">
        <x:f>D39*(1+E39)/(1+SUM($F$36:$F$50))</x:f>
        <x:v>0.06978281165592592</x:v>
      </x:c>
      <x:c r="H39" s="21" t="n">
        <x:f>'Prices'!H43/'Prices'!I43-1</x:f>
        <x:v>0.06912143149185868</x:v>
      </x:c>
    </x:row>
    <x:row r="40" ht="27" customHeight="1">
      <x:c r="A40" s="8" t="n">
        <x:v>46300</x:v>
      </x:c>
      <x:c r="B40" s="2" t="str">
        <x:v>Nabtesco</x:v>
      </x:c>
      <x:c r="C40" s="2" t="str">
        <x:v>6268</x:v>
      </x:c>
      <x:c r="D40" s="18" t="n">
        <x:f>G25</x:f>
        <x:v>0.06498149493723897</x:v>
      </x:c>
      <x:c r="E40" s="20" t="n">
        <x:f>'Prices'!H44/'Prices'!G44-1</x:f>
        <x:v>0.010759236703207442</x:v>
      </x:c>
      <x:c r="F40" s="18" t="n">
        <x:f>D40*E40</x:f>
        <x:v>0.00069915128535803</x:v>
      </x:c>
      <x:c r="G40" s="18" t="n">
        <x:f>D40*(1+E40)/(1+SUM($F$36:$F$50))</x:f>
        <x:v>0.0653236539667091</x:v>
      </x:c>
      <x:c r="H40" s="20" t="n">
        <x:f>'Prices'!H44/'Prices'!I44-1</x:f>
        <x:v>0.0008040201005026226</x:v>
      </x:c>
    </x:row>
    <x:row r="41" ht="27" customHeight="1">
      <x:c r="A41" s="9" t="n">
        <x:v>46300</x:v>
      </x:c>
      <x:c r="B41" s="10" t="str">
        <x:v>Inovance</x:v>
      </x:c>
      <x:c r="C41" s="10" t="str">
        <x:v>300124</x:v>
      </x:c>
      <x:c r="D41" s="19" t="n">
        <x:f>G26</x:f>
        <x:v>0.065627880087853</x:v>
      </x:c>
      <x:c r="E41" s="21" t="n">
        <x:f>'Prices'!H45/'Prices'!G45-1</x:f>
        <x:v>0</x:v>
      </x:c>
      <x:c r="F41" s="19" t="n">
        <x:f>D41*E41</x:f>
        <x:v>0</x:v>
      </x:c>
      <x:c r="G41" s="19" t="n">
        <x:f>D41*(1+E41)/(1+SUM($F$36:$F$50))</x:f>
        <x:v>0.06527117463032292</x:v>
      </x:c>
      <x:c r="H41" s="21" t="n">
        <x:f>'Prices'!H45/'Prices'!I45-1</x:f>
        <x:v>0</x:v>
      </x:c>
    </x:row>
    <x:row r="42" ht="27" customHeight="1">
      <x:c r="A42" s="8" t="n">
        <x:v>46300</x:v>
      </x:c>
      <x:c r="B42" s="2" t="str">
        <x:v>Keyence</x:v>
      </x:c>
      <x:c r="C42" s="2" t="str">
        <x:v>6861</x:v>
      </x:c>
      <x:c r="D42" s="18" t="n">
        <x:f>G27</x:f>
        <x:v>0.0648762307223148</x:v>
      </x:c>
      <x:c r="E42" s="20" t="n">
        <x:f>'Prices'!H46/'Prices'!G46-1</x:f>
        <x:v>0.0175657157094804</x:v>
      </x:c>
      <x:c r="F42" s="18" t="n">
        <x:f>D42*E42</x:f>
        <x:v>0.00113959742517084</x:v>
      </x:c>
      <x:c r="G42" s="18" t="n">
        <x:f>D42*(1+E42)/(1+SUM($F$36:$F$50))</x:f>
        <x:v>0.06565701408626572</x:v>
      </x:c>
      <x:c r="H42" s="20" t="n">
        <x:f>'Prices'!H46/'Prices'!I46-1</x:f>
        <x:v>0.005911330049261032</x:v>
      </x:c>
    </x:row>
    <x:row r="43" ht="27" customHeight="1">
      <x:c r="A43" s="9" t="n">
        <x:v>46300</x:v>
      </x:c>
      <x:c r="B43" s="10" t="str">
        <x:v>Cognex</x:v>
      </x:c>
      <x:c r="C43" s="10" t="str">
        <x:v>CGNX</x:v>
      </x:c>
      <x:c r="D43" s="19" t="n">
        <x:f>G28</x:f>
        <x:v>0.06852850159607538</x:v>
      </x:c>
      <x:c r="E43" s="21" t="n">
        <x:f>'Prices'!H47/'Prices'!G47-1</x:f>
        <x:v>-0.009235031553024409</x:v>
      </x:c>
      <x:c r="F43" s="19" t="n">
        <x:f>D43*E43</x:f>
        <x:v>-0.0006328628745212396</x:v>
      </x:c>
      <x:c r="G43" s="19" t="n">
        <x:f>D43*(1+E43)/(1+SUM($F$36:$F$50))</x:f>
        <x:v>0.06752660737630804</x:v>
      </x:c>
      <x:c r="H43" s="21" t="n">
        <x:f>'Prices'!H47/'Prices'!I47-1</x:f>
        <x:v>0.034554805528768995</x:v>
      </x:c>
    </x:row>
    <x:row r="44" ht="27" customHeight="1">
      <x:c r="A44" s="8" t="n">
        <x:v>46300</x:v>
      </x:c>
      <x:c r="B44" s="2" t="str">
        <x:v>Ouster</x:v>
      </x:c>
      <x:c r="C44" s="2" t="str">
        <x:v>OUST</x:v>
      </x:c>
      <x:c r="D44" s="18" t="n">
        <x:f>G29</x:f>
        <x:v>0.07128019567163678</x:v>
      </x:c>
      <x:c r="E44" s="20" t="n">
        <x:f>'Prices'!H48/'Prices'!G48-1</x:f>
        <x:v>-0.006082451002478062</x:v>
      </x:c>
      <x:c r="F44" s="18" t="n">
        <x:f>D44*E44</x:f>
        <x:v>-0.00043355829761977953</x:v>
      </x:c>
      <x:c r="G44" s="18" t="n">
        <x:f>D44*(1+E44)/(1+SUM($F$36:$F$50))</x:f>
        <x:v>0.07046156654489473</x:v>
      </x:c>
      <x:c r="H44" s="20" t="n">
        <x:f>'Prices'!H48/'Prices'!I48-1</x:f>
        <x:v>0.07952043063371672</x:v>
      </x:c>
    </x:row>
    <x:row r="45" ht="27" customHeight="1">
      <x:c r="A45" s="9" t="n">
        <x:v>46300</x:v>
      </x:c>
      <x:c r="B45" s="10" t="str">
        <x:v>Hesai</x:v>
      </x:c>
      <x:c r="C45" s="10" t="str">
        <x:v>HSAI</x:v>
      </x:c>
      <x:c r="D45" s="19" t="n">
        <x:f>G30</x:f>
        <x:v>0.06336200852173128</x:v>
      </x:c>
      <x:c r="E45" s="21" t="n">
        <x:f>'Prices'!H49/'Prices'!G49-1</x:f>
        <x:v>0.03446033810143034</x:v>
      </x:c>
      <x:c r="F45" s="19" t="n">
        <x:f>D45*E45</x:f>
        <x:v>0.0021834762364445707</x:v>
      </x:c>
      <x:c r="G45" s="19" t="n">
        <x:f>D45*(1+E45)/(1+SUM($F$36:$F$50))</x:f>
        <x:v>0.06518922714177261</x:v>
      </x:c>
      <x:c r="H45" s="21" t="n">
        <x:f>'Prices'!H49/'Prices'!I49-1</x:f>
        <x:v>-0.0012554927809165228</x:v>
      </x:c>
    </x:row>
    <x:row r="46" ht="27" customHeight="1">
      <x:c r="A46" s="8" t="n">
        <x:v>46300</x:v>
      </x:c>
      <x:c r="B46" s="2" t="str">
        <x:v>Rockwell Automation</x:v>
      </x:c>
      <x:c r="C46" s="2" t="str">
        <x:v>ROK</x:v>
      </x:c>
      <x:c r="D46" s="18" t="n">
        <x:f>G31</x:f>
        <x:v>0.06739298749670249</x:v>
      </x:c>
      <x:c r="E46" s="20" t="n">
        <x:f>'Prices'!H50/'Prices'!G50-1</x:f>
        <x:v>0.001826785517772711</x:v>
      </x:c>
      <x:c r="F46" s="18" t="n">
        <x:f>D46*E46</x:f>
        <x:v>0.0001231125335584135</x:v>
      </x:c>
      <x:c r="G46" s="18" t="n">
        <x:f>D46*(1+E46)/(1+SUM($F$36:$F$50))</x:f>
        <x:v>0.06714913158149032</x:v>
      </x:c>
      <x:c r="H46" s="20" t="n">
        <x:f>'Prices'!H50/'Prices'!I50-1</x:f>
        <x:v>0.028771612611594666</x:v>
      </x:c>
    </x:row>
    <x:row r="47" ht="27" customHeight="1">
      <x:c r="A47" s="9" t="n">
        <x:v>46300</x:v>
      </x:c>
      <x:c r="B47" s="10" t="str">
        <x:v>Siemens</x:v>
      </x:c>
      <x:c r="C47" s="10" t="str">
        <x:v>SIE</x:v>
      </x:c>
      <x:c r="D47" s="19" t="n">
        <x:f>G32</x:f>
        <x:v>0.06664162446581913</x:v>
      </x:c>
      <x:c r="E47" s="21" t="n">
        <x:f>'Prices'!H51/'Prices'!G51-1</x:f>
        <x:v>-0.003984063745020028</x:v>
      </x:c>
      <x:c r="F47" s="19" t="n">
        <x:f>D47*E47</x:f>
        <x:v>-0.0002655044799435097</x:v>
      </x:c>
      <x:c r="G47" s="19" t="n">
        <x:f>D47*(1+E47)/(1+SUM($F$36:$F$50))</x:f>
        <x:v>0.06601534764008388</x:v>
      </x:c>
      <x:c r="H47" s="21" t="n">
        <x:f>'Prices'!H51/'Prices'!I51-1</x:f>
        <x:v>0.01140125045972784</x:v>
      </x:c>
    </x:row>
    <x:row r="48" ht="27" customHeight="1">
      <x:c r="A48" s="8" t="n">
        <x:v>46300</x:v>
      </x:c>
      <x:c r="B48" s="2" t="str">
        <x:v>NXP Semiconductors</x:v>
      </x:c>
      <x:c r="C48" s="2" t="str">
        <x:v>NXPI</x:v>
      </x:c>
      <x:c r="D48" s="18" t="n">
        <x:f>G33</x:f>
        <x:v>0.06685433865214375</x:v>
      </x:c>
      <x:c r="E48" s="20" t="n">
        <x:f>'Prices'!H52/'Prices'!G52-1</x:f>
        <x:v>-0.006935894278913279</x:v>
      </x:c>
      <x:c r="F48" s="18" t="n">
        <x:f>D48*E48</x:f>
        <x:v>-0.0004636946249779348</x:v>
      </x:c>
      <x:c r="G48" s="18" t="n">
        <x:f>D48*(1+E48)/(1+SUM($F$36:$F$50))</x:f>
        <x:v>0.06602979273924177</x:v>
      </x:c>
      <x:c r="H48" s="20" t="n">
        <x:f>'Prices'!H52/'Prices'!I52-1</x:f>
        <x:v>0.011622559471549776</x:v>
      </x:c>
    </x:row>
    <x:row r="49" ht="27" customHeight="1">
      <x:c r="A49" s="9" t="n">
        <x:v>46300</x:v>
      </x:c>
      <x:c r="B49" s="10" t="str">
        <x:v>Daifuku</x:v>
      </x:c>
      <x:c r="C49" s="10" t="str">
        <x:v>6383</x:v>
      </x:c>
      <x:c r="D49" s="19" t="n">
        <x:f>G34</x:f>
        <x:v>0.06584168833916802</x:v>
      </x:c>
      <x:c r="E49" s="21" t="n">
        <x:f>'Prices'!H53/'Prices'!G53-1</x:f>
        <x:v>0.0039309519740216015</x:v>
      </x:c>
      <x:c r="F49" s="19" t="n">
        <x:f>D49*E49</x:f>
        <x:v>0.0002588205147497676</x:v>
      </x:c>
      <x:c r="G49" s="19" t="n">
        <x:f>D49*(1+E49)/(1+SUM($F$36:$F$50))</x:f>
        <x:v>0.065741234529924</x:v>
      </x:c>
      <x:c r="H49" s="21" t="n">
        <x:f>'Prices'!H53/'Prices'!I53-1</x:f>
        <x:v>0.007201646090535085</x:v>
      </x:c>
    </x:row>
    <x:row r="50" ht="27" customHeight="1">
      <x:c r="A50" s="8" t="n">
        <x:v>46300</x:v>
      </x:c>
      <x:c r="B50" s="2" t="str">
        <x:v>Hexagon</x:v>
      </x:c>
      <x:c r="C50" s="2" t="str">
        <x:v>HEXA B</x:v>
      </x:c>
      <x:c r="D50" s="18" t="n">
        <x:f>G35</x:f>
        <x:v>0.0670395886779068</x:v>
      </x:c>
      <x:c r="E50" s="20" t="n">
        <x:f>'Prices'!H54/'Prices'!G54-1</x:f>
        <x:v>0.009886307464162192</x:v>
      </x:c>
      <x:c r="F50" s="18" t="n">
        <x:f>D50*E50</x:f>
        <x:v>0.0006627739859407532</x:v>
      </x:c>
      <x:c r="G50" s="18" t="n">
        <x:f>D50*(1+E50)/(1+SUM($F$36:$F$50))</x:f>
        <x:v>0.06733438182677728</x:v>
      </x:c>
      <x:c r="H50" s="20" t="n">
        <x:f>'Prices'!H54/'Prices'!I54-1</x:f>
        <x:v>0.03160977580286817</x:v>
      </x:c>
    </x:row>
    <x:row r="51" ht="27" customHeight="1">
      <x:c r="A51" s="9" t="n">
        <x:v>46301</x:v>
      </x:c>
      <x:c r="B51" s="10" t="str">
        <x:v>FANUC</x:v>
      </x:c>
      <x:c r="C51" s="10" t="str">
        <x:v>6954</x:v>
      </x:c>
      <x:c r="D51" s="19" t="n">
        <x:f>G36</x:f>
        <x:v>0.06589970397636324</x:v>
      </x:c>
      <x:c r="E51" s="21" t="n">
        <x:f>'Prices'!H57/'Prices'!G57-1</x:f>
        <x:v>0.005496281926931745</x:v>
      </x:c>
      <x:c r="F51" s="19" t="n">
        <x:f>D51*E51</x:f>
        <x:v>0.00036220335195543736</x:v>
      </x:c>
      <x:c r="G51" s="19" t="n">
        <x:f>D51*(1+E51)/(1+SUM($F$51:$F$65))</x:f>
        <x:v>0.06592795363283505</x:v>
      </x:c>
      <x:c r="H51" s="21" t="n">
        <x:f>'Prices'!H57/'Prices'!I57-1</x:f>
        <x:v>0.015178717153582433</x:v>
      </x:c>
    </x:row>
    <x:row r="52" ht="27" customHeight="1">
      <x:c r="A52" s="8" t="n">
        <x:v>46301</x:v>
      </x:c>
      <x:c r="B52" s="2" t="str">
        <x:v>Yaskawa Electric</x:v>
      </x:c>
      <x:c r="C52" s="2" t="str">
        <x:v>6506</x:v>
      </x:c>
      <x:c r="D52" s="18" t="n">
        <x:f>G37</x:f>
        <x:v>0.06734717767359749</x:v>
      </x:c>
      <x:c r="E52" s="20" t="n">
        <x:f>'Prices'!H58/'Prices'!G58-1</x:f>
        <x:v>0.0010139931048469553</x:v>
      </x:c>
      <x:c r="F52" s="18" t="n">
        <x:f>D52*E52</x:f>
        <x:v>0.00006828957379193066</x:v>
      </x:c>
      <x:c r="G52" s="18" t="n">
        <x:f>D52*(1+E52)/(1+SUM($F$51:$F$65))</x:f>
        <x:v>0.06707569971989477</x:v>
      </x:c>
      <x:c r="H52" s="20" t="n">
        <x:f>'Prices'!H58/'Prices'!I58-1</x:f>
        <x:v>0.032852061100648644</x:v>
      </x:c>
    </x:row>
    <x:row r="53" ht="27" customHeight="1">
      <x:c r="A53" s="9" t="n">
        <x:v>46301</x:v>
      </x:c>
      <x:c r="B53" s="10" t="str">
        <x:v>Estun Automation</x:v>
      </x:c>
      <x:c r="C53" s="14" t="str">
        <x:v>002747</x:v>
      </x:c>
      <x:c r="D53" s="19" t="n">
        <x:f>G38</x:f>
        <x:v>0.06527117463032292</x:v>
      </x:c>
      <x:c r="E53" s="21" t="n">
        <x:f>'Prices'!H59/'Prices'!G59-1</x:f>
        <x:v>0</x:v>
      </x:c>
      <x:c r="F53" s="19" t="n">
        <x:f>D53*E53</x:f>
        <x:v>0</x:v>
      </x:c>
      <x:c r="G53" s="19" t="n">
        <x:f>D53*(1+E53)/(1+SUM($F$51:$F$65))</x:f>
        <x:v>0.06494221413318012</x:v>
      </x:c>
      <x:c r="H53" s="21" t="n">
        <x:f>'Prices'!H59/'Prices'!I59-1</x:f>
        <x:v>0</x:v>
      </x:c>
    </x:row>
    <x:row r="54" ht="27" customHeight="1">
      <x:c r="A54" s="8" t="n">
        <x:v>46301</x:v>
      </x:c>
      <x:c r="B54" s="2" t="str">
        <x:v>Teradyne</x:v>
      </x:c>
      <x:c r="C54" s="2" t="str">
        <x:v>TER</x:v>
      </x:c>
      <x:c r="D54" s="18" t="n">
        <x:f>G39</x:f>
        <x:v>0.06978281165592592</x:v>
      </x:c>
      <x:c r="E54" s="20" t="n">
        <x:f>'Prices'!H60/'Prices'!G60-1</x:f>
        <x:v>-0.031966346478302876</x:v>
      </x:c>
      <x:c r="F54" s="18" t="n">
        <x:f>D54*E54</x:f>
        <x:v>-0.0022307015356234808</x:v>
      </x:c>
      <x:c r="G54" s="18" t="n">
        <x:f>D54*(1+E54)/(1+SUM($F$51:$F$65))</x:f>
        <x:v>0.06721165392575594</x:v>
      </x:c>
      <x:c r="H54" s="20" t="n">
        <x:f>'Prices'!H60/'Prices'!I60-1</x:f>
        <x:v>0.034945525385410736</x:v>
      </x:c>
    </x:row>
    <x:row r="55" ht="27" customHeight="1">
      <x:c r="A55" s="9" t="n">
        <x:v>46301</x:v>
      </x:c>
      <x:c r="B55" s="10" t="str">
        <x:v>Nabtesco</x:v>
      </x:c>
      <x:c r="C55" s="10" t="str">
        <x:v>6268</x:v>
      </x:c>
      <x:c r="D55" s="19" t="n">
        <x:f>G40</x:f>
        <x:v>0.0653236539667091</x:v>
      </x:c>
      <x:c r="E55" s="21" t="n">
        <x:f>'Prices'!H61/'Prices'!G61-1</x:f>
        <x:v>0.0016067483430408647</x:v>
      </x:c>
      <x:c r="F55" s="19" t="n">
        <x:f>D55*E55</x:f>
        <x:v>0.00010495867277238464</x:v>
      </x:c>
      <x:c r="G55" s="19" t="n">
        <x:f>D55*(1+E55)/(1+SUM($F$51:$F$65))</x:f>
        <x:v>0.06509885866978275</x:v>
      </x:c>
      <x:c r="H55" s="21" t="n">
        <x:f>'Prices'!H61/'Prices'!I61-1</x:f>
        <x:v>0.002412060301507646</x:v>
      </x:c>
    </x:row>
    <x:row r="56" ht="27" customHeight="1">
      <x:c r="A56" s="8" t="n">
        <x:v>46301</x:v>
      </x:c>
      <x:c r="B56" s="2" t="str">
        <x:v>Inovance</x:v>
      </x:c>
      <x:c r="C56" s="2" t="str">
        <x:v>300124</x:v>
      </x:c>
      <x:c r="D56" s="18" t="n">
        <x:f>G41</x:f>
        <x:v>0.06527117463032292</x:v>
      </x:c>
      <x:c r="E56" s="20" t="n">
        <x:f>'Prices'!H62/'Prices'!G62-1</x:f>
        <x:v>0</x:v>
      </x:c>
      <x:c r="F56" s="18" t="n">
        <x:f>D56*E56</x:f>
        <x:v>0</x:v>
      </x:c>
      <x:c r="G56" s="18" t="n">
        <x:f>D56*(1+E56)/(1+SUM($F$51:$F$65))</x:f>
        <x:v>0.06494221413318012</x:v>
      </x:c>
      <x:c r="H56" s="20" t="n">
        <x:f>'Prices'!H62/'Prices'!I62-1</x:f>
        <x:v>0</x:v>
      </x:c>
    </x:row>
    <x:row r="57" ht="27" customHeight="1">
      <x:c r="A57" s="9" t="n">
        <x:v>46301</x:v>
      </x:c>
      <x:c r="B57" s="10" t="str">
        <x:v>Keyence</x:v>
      </x:c>
      <x:c r="C57" s="10" t="str">
        <x:v>6861</x:v>
      </x:c>
      <x:c r="D57" s="19" t="n">
        <x:f>G42</x:f>
        <x:v>0.06565701408626572</x:v>
      </x:c>
      <x:c r="E57" s="21" t="n">
        <x:f>'Prices'!H63/'Prices'!G63-1</x:f>
        <x:v>-0.002326150832517193</x:v>
      </x:c>
      <x:c r="F57" s="19" t="n">
        <x:f>D57*E57</x:f>
        <x:v>-0.00015272811797736006</x:v>
      </x:c>
      <x:c r="G57" s="19" t="n">
        <x:f>D57*(1+E57)/(1+SUM($F$51:$F$65))</x:f>
        <x:v>0.06517415061222719</x:v>
      </x:c>
      <x:c r="H57" s="21" t="n">
        <x:f>'Prices'!H63/'Prices'!I63-1</x:f>
        <x:v>0.0035714285714285587</x:v>
      </x:c>
    </x:row>
    <x:row r="58" ht="27" customHeight="1">
      <x:c r="A58" s="8" t="n">
        <x:v>46301</x:v>
      </x:c>
      <x:c r="B58" s="2" t="str">
        <x:v>Cognex</x:v>
      </x:c>
      <x:c r="C58" s="2" t="str">
        <x:v>CGNX</x:v>
      </x:c>
      <x:c r="D58" s="18" t="n">
        <x:f>G43</x:f>
        <x:v>0.06752660737630804</x:v>
      </x:c>
      <x:c r="E58" s="20" t="n">
        <x:f>'Prices'!H64/'Prices'!G64-1</x:f>
        <x:v>0.03075967065403118</x:v>
      </x:c>
      <x:c r="F58" s="18" t="n">
        <x:f>D58*E58</x:f>
        <x:v>0.002077096203279308</x:v>
      </x:c>
      <x:c r="G58" s="18" t="n">
        <x:f>D58*(1+E58)/(1+SUM($F$51:$F$65))</x:f>
        <x:v>0.06925290754960624</x:v>
      </x:c>
      <x:c r="H58" s="20" t="n">
        <x:f>'Prices'!H64/'Prices'!I64-1</x:f>
        <x:v>0.06637737062037918</x:v>
      </x:c>
    </x:row>
    <x:row r="59" ht="27" customHeight="1">
      <x:c r="A59" s="9" t="n">
        <x:v>46301</x:v>
      </x:c>
      <x:c r="B59" s="10" t="str">
        <x:v>Ouster</x:v>
      </x:c>
      <x:c r="C59" s="10" t="str">
        <x:v>OUST</x:v>
      </x:c>
      <x:c r="D59" s="19" t="n">
        <x:f>G44</x:f>
        <x:v>0.07046156654489473</x:v>
      </x:c>
      <x:c r="E59" s="21" t="n">
        <x:f>'Prices'!H65/'Prices'!G65-1</x:f>
        <x:v>0.017905711695376247</x:v>
      </x:c>
      <x:c r="F59" s="19" t="n">
        <x:f>D59*E59</x:f>
        <x:v>0.0012616644961574532</x:v>
      </x:c>
      <x:c r="G59" s="19" t="n">
        <x:f>D59*(1+E59)/(1+SUM($F$51:$F$65))</x:f>
        <x:v>0.07136175279474234</x:v>
      </x:c>
      <x:c r="H59" s="21" t="n">
        <x:f>'Prices'!H65/'Prices'!I65-1</x:f>
        <x:v>0.09885001223391243</x:v>
      </x:c>
    </x:row>
    <x:row r="60" ht="27" customHeight="1">
      <x:c r="A60" s="8" t="n">
        <x:v>46301</x:v>
      </x:c>
      <x:c r="B60" s="2" t="str">
        <x:v>Hesai</x:v>
      </x:c>
      <x:c r="C60" s="2" t="str">
        <x:v>HSAI</x:v>
      </x:c>
      <x:c r="D60" s="18" t="n">
        <x:f>G45</x:f>
        <x:v>0.06518922714177261</x:v>
      </x:c>
      <x:c r="E60" s="20" t="n">
        <x:f>'Prices'!H66/'Prices'!G66-1</x:f>
        <x:v>0.022627278441231802</x:v>
      </x:c>
      <x:c r="F60" s="18" t="n">
        <x:f>D60*E60</x:f>
        <x:v>0.0014750547939055944</x:v>
      </x:c>
      <x:c r="G60" s="18" t="n">
        <x:f>D60*(1+E60)/(1+SUM($F$51:$F$65))</x:f>
        <x:v>0.06632830031053612</x:v>
      </x:c>
      <x:c r="H60" s="20" t="n">
        <x:f>'Prices'!H66/'Prices'!I66-1</x:f>
        <x:v>0.021343377275580666</x:v>
      </x:c>
    </x:row>
    <x:row r="61" ht="27" customHeight="1">
      <x:c r="A61" s="9" t="n">
        <x:v>46301</x:v>
      </x:c>
      <x:c r="B61" s="10" t="str">
        <x:v>Rockwell Automation</x:v>
      </x:c>
      <x:c r="C61" s="10" t="str">
        <x:v>ROK</x:v>
      </x:c>
      <x:c r="D61" s="19" t="n">
        <x:f>G46</x:f>
        <x:v>0.06714913158149032</x:v>
      </x:c>
      <x:c r="E61" s="21" t="n">
        <x:f>'Prices'!H67/'Prices'!G67-1</x:f>
        <x:v>-0.009754382881497436</x:v>
      </x:c>
      <x:c r="F61" s="19" t="n">
        <x:f>D61*E61</x:f>
        <x:v>-0.000654998339605908</x:v>
      </x:c>
      <x:c r="G61" s="19" t="n">
        <x:f>D61*(1+E61)/(1+SUM($F$51:$F$65))</x:f>
        <x:v>0.06615900914993696</x:v>
      </x:c>
      <x:c r="H61" s="21" t="n">
        <x:f>'Prices'!H67/'Prices'!I67-1</x:f>
        <x:v>0.018736580404565606</x:v>
      </x:c>
    </x:row>
    <x:row r="62" ht="27" customHeight="1">
      <x:c r="A62" s="8" t="n">
        <x:v>46301</x:v>
      </x:c>
      <x:c r="B62" s="2" t="str">
        <x:v>Siemens</x:v>
      </x:c>
      <x:c r="C62" s="2" t="str">
        <x:v>SIE</x:v>
      </x:c>
      <x:c r="D62" s="18" t="n">
        <x:f>G47</x:f>
        <x:v>0.06601534764008388</x:v>
      </x:c>
      <x:c r="E62" s="20" t="n">
        <x:f>'Prices'!H68/'Prices'!G68-1</x:f>
        <x:v>0.014545454545454639</x:v>
      </x:c>
      <x:c r="F62" s="18" t="n">
        <x:f>D62*E62</x:f>
        <x:v>0.0009602232384012262</x:v>
      </x:c>
      <x:c r="G62" s="18" t="n">
        <x:f>D62*(1+E62)/(1+SUM($F$51:$F$65))</x:f>
        <x:v>0.06663802038674975</x:v>
      </x:c>
      <x:c r="H62" s="20" t="n">
        <x:f>'Prices'!H68/'Prices'!I68-1</x:f>
        <x:v>0.026112541375505893</x:v>
      </x:c>
    </x:row>
    <x:row r="63" ht="27" customHeight="1">
      <x:c r="A63" s="9" t="n">
        <x:v>46301</x:v>
      </x:c>
      <x:c r="B63" s="10" t="str">
        <x:v>NXP Semiconductors</x:v>
      </x:c>
      <x:c r="C63" s="10" t="str">
        <x:v>NXPI</x:v>
      </x:c>
      <x:c r="D63" s="19" t="n">
        <x:f>G48</x:f>
        <x:v>0.06602979273924177</x:v>
      </x:c>
      <x:c r="E63" s="21" t="n">
        <x:f>'Prices'!H69/'Prices'!G69-1</x:f>
        <x:v>0.009959912385832936</x:v>
      </x:c>
      <x:c r="F63" s="19" t="n">
        <x:f>D63*E63</x:f>
        <x:v>0.0006576509505375558</x:v>
      </x:c>
      <x:c r="G63" s="19" t="n">
        <x:f>D63*(1+E63)/(1+SUM($F$51:$F$65))</x:f>
        <x:v>0.06635134533160483</x:v>
      </x:c>
      <x:c r="H63" s="21" t="n">
        <x:f>'Prices'!H69/'Prices'!I69-1</x:f>
        <x:v>0.021698231531418477</x:v>
      </x:c>
    </x:row>
    <x:row r="64" ht="27" customHeight="1">
      <x:c r="A64" s="8" t="n">
        <x:v>46301</x:v>
      </x:c>
      <x:c r="B64" s="2" t="str">
        <x:v>Daifuku</x:v>
      </x:c>
      <x:c r="C64" s="2" t="str">
        <x:v>6383</x:v>
      </x:c>
      <x:c r="D64" s="18" t="n">
        <x:f>G49</x:f>
        <x:v>0.065741234529924</x:v>
      </x:c>
      <x:c r="E64" s="20" t="n">
        <x:f>'Prices'!H70/'Prices'!G70-1</x:f>
        <x:v>0.0042560435818863596</x:v>
      </x:c>
      <x:c r="F64" s="18" t="n">
        <x:f>D64*E64</x:f>
        <x:v>0.000279797559286369</x:v>
      </x:c>
      <x:c r="G64" s="18" t="n">
        <x:f>D64*(1+E64)/(1+SUM($F$51:$F$65))</x:f>
        <x:v>0.06568829238196663</x:v>
      </x:c>
      <x:c r="H64" s="20" t="n">
        <x:f>'Prices'!H70/'Prices'!I70-1</x:f>
        <x:v>0.011488340192043811</x:v>
      </x:c>
    </x:row>
    <x:row r="65" ht="27" customHeight="1">
      <x:c r="A65" s="9" t="n">
        <x:v>46301</x:v>
      </x:c>
      <x:c r="B65" s="10" t="str">
        <x:v>Hexagon</x:v>
      </x:c>
      <x:c r="C65" s="10" t="str">
        <x:v>HEXA B</x:v>
      </x:c>
      <x:c r="D65" s="19" t="n">
        <x:f>G50</x:f>
        <x:v>0.06733438182677728</x:v>
      </x:c>
      <x:c r="E65" s="21" t="n">
        <x:f>'Prices'!H71/'Prices'!G71-1</x:f>
        <x:v>0.012726382770435585</x:v>
      </x:c>
      <x:c r="F65" s="19" t="n">
        <x:f>D65*E65</x:f>
        <x:v>0.0008569231167382294</x:v>
      </x:c>
      <x:c r="G65" s="19" t="n">
        <x:f>D65*(1+E65)/(1+SUM($F$51:$F$65))</x:f>
        <x:v>0.06784762726800124</x:v>
      </x:c>
      <x:c r="H65" s="21" t="n">
        <x:f>'Prices'!H71/'Prices'!I71-1</x:f>
        <x:v>0.04473843667945876</x:v>
      </x:c>
    </x:row>
    <x:row r="66" ht="27" customHeight="1">
      <x:c r="A66" s="8" t="n">
        <x:v>46302</x:v>
      </x:c>
      <x:c r="B66" s="2" t="str">
        <x:v>FANUC</x:v>
      </x:c>
      <x:c r="C66" s="2" t="str">
        <x:v>6954</x:v>
      </x:c>
      <x:c r="D66" s="18" t="n">
        <x:f>G51</x:f>
        <x:v>0.06592795363283505</x:v>
      </x:c>
      <x:c r="E66" s="20" t="n">
        <x:f>'Prices'!H74/'Prices'!G74-1</x:f>
        <x:v>-0.009003215434083556</x:v>
      </x:c>
      <x:c r="F66" s="18" t="n">
        <x:f>D66*E66</x:f>
        <x:v>-0.0005935635696846855</x:v>
      </x:c>
      <x:c r="G66" s="18" t="n">
        <x:f>D66*(1+E66)/(1+SUM($F$66:$F$80))</x:f>
        <x:v>0.06681091043446796</x:v>
      </x:c>
      <x:c r="H66" s="20" t="n">
        <x:f>'Prices'!H74/'Prices'!I74-1</x:f>
        <x:v>0.006038844458952086</x:v>
      </x:c>
    </x:row>
    <x:row r="67" ht="27" customHeight="1">
      <x:c r="A67" s="9" t="n">
        <x:v>46302</x:v>
      </x:c>
      <x:c r="B67" s="10" t="str">
        <x:v>Yaskawa Electric</x:v>
      </x:c>
      <x:c r="C67" s="10" t="str">
        <x:v>6506</x:v>
      </x:c>
      <x:c r="D67" s="19" t="n">
        <x:f>G52</x:f>
        <x:v>0.06707569971989477</x:v>
      </x:c>
      <x:c r="E67" s="21" t="n">
        <x:f>'Prices'!H75/'Prices'!G75-1</x:f>
        <x:v>0.0020259319286872746</x:v>
      </x:c>
      <x:c r="F67" s="19" t="n">
        <x:f>D67*E67</x:f>
        <x:v>0.0001358908017015749</x:v>
      </x:c>
      <x:c r="G67" s="19" t="n">
        <x:f>D67*(1+E67)/(1+SUM($F$66:$F$80))</x:f>
        <x:v>0.06873053456466267</x:v>
      </x:c>
      <x:c r="H67" s="21" t="n">
        <x:f>'Prices'!H75/'Prices'!I75-1</x:f>
        <x:v>0.03494454906884292</x:v>
      </x:c>
    </x:row>
    <x:row r="68" ht="27" customHeight="1">
      <x:c r="A68" s="8" t="n">
        <x:v>46302</x:v>
      </x:c>
      <x:c r="B68" s="2" t="str">
        <x:v>Estun Automation</x:v>
      </x:c>
      <x:c r="C68" s="13" t="str">
        <x:v>002747</x:v>
      </x:c>
      <x:c r="D68" s="18" t="n">
        <x:f>G53</x:f>
        <x:v>0.06494221413318012</x:v>
      </x:c>
      <x:c r="E68" s="20" t="n">
        <x:f>'Prices'!H76/'Prices'!G76-1</x:f>
        <x:v>0</x:v>
      </x:c>
      <x:c r="F68" s="18" t="n">
        <x:f>D68*E68</x:f>
        <x:v>0</x:v>
      </x:c>
      <x:c r="G68" s="18" t="n">
        <x:f>D68*(1+E68)/(1+SUM($F$66:$F$80))</x:f>
        <x:v>0.06640987154964068</x:v>
      </x:c>
      <x:c r="H68" s="20" t="n">
        <x:f>'Prices'!H76/'Prices'!I76-1</x:f>
        <x:v>0</x:v>
      </x:c>
    </x:row>
    <x:row r="69" ht="27" customHeight="1">
      <x:c r="A69" s="9" t="n">
        <x:v>46302</x:v>
      </x:c>
      <x:c r="B69" s="10" t="str">
        <x:v>Teradyne</x:v>
      </x:c>
      <x:c r="C69" s="10" t="str">
        <x:v>TER</x:v>
      </x:c>
      <x:c r="D69" s="19" t="n">
        <x:f>G54</x:f>
        <x:v>0.06721165392575594</x:v>
      </x:c>
      <x:c r="E69" s="21" t="n">
        <x:f>'Prices'!H77/'Prices'!G77-1</x:f>
        <x:v>-0.04308421639709992</x:v>
      </x:c>
      <x:c r="F69" s="19" t="n">
        <x:f>D69*E69</x:f>
        <x:v>-0.0028957614421442593</x:v>
      </x:c>
      <x:c r="G69" s="19" t="n">
        <x:f>D69*(1+E69)/(1+SUM($F$66:$F$80))</x:f>
        <x:v>0.0657693953839944</x:v>
      </x:c>
      <x:c r="H69" s="21" t="n">
        <x:f>'Prices'!H77/'Prices'!I77-1</x:f>
        <x:v>-0.009644291589504417</x:v>
      </x:c>
    </x:row>
    <x:row r="70" ht="27" customHeight="1">
      <x:c r="A70" s="8" t="n">
        <x:v>46302</x:v>
      </x:c>
      <x:c r="B70" s="2" t="str">
        <x:v>Nabtesco</x:v>
      </x:c>
      <x:c r="C70" s="2" t="str">
        <x:v>6268</x:v>
      </x:c>
      <x:c r="D70" s="18" t="n">
        <x:f>G55</x:f>
        <x:v>0.06509885866978275</x:v>
      </x:c>
      <x:c r="E70" s="20" t="n">
        <x:f>'Prices'!H78/'Prices'!G78-1</x:f>
        <x:v>0.004611991177060348</x:v>
      </x:c>
      <x:c r="F70" s="18" t="n">
        <x:f>D70*E70</x:f>
        <x:v>0.0003002353618217366</x:v>
      </x:c>
      <x:c r="G70" s="18" t="n">
        <x:f>D70*(1+E70)/(1+SUM($F$66:$F$80))</x:f>
        <x:v>0.06687707667612056</x:v>
      </x:c>
      <x:c r="H70" s="20" t="n">
        <x:f>'Prices'!H78/'Prices'!I78-1</x:f>
        <x:v>0.007035175879396949</x:v>
      </x:c>
    </x:row>
    <x:row r="71" ht="27" customHeight="1">
      <x:c r="A71" s="9" t="n">
        <x:v>46302</x:v>
      </x:c>
      <x:c r="B71" s="10" t="str">
        <x:v>Inovance</x:v>
      </x:c>
      <x:c r="C71" s="10" t="str">
        <x:v>300124</x:v>
      </x:c>
      <x:c r="D71" s="19" t="n">
        <x:f>G56</x:f>
        <x:v>0.06494221413318012</x:v>
      </x:c>
      <x:c r="E71" s="21" t="n">
        <x:f>'Prices'!H79/'Prices'!G79-1</x:f>
        <x:v>0</x:v>
      </x:c>
      <x:c r="F71" s="19" t="n">
        <x:f>D71*E71</x:f>
        <x:v>0</x:v>
      </x:c>
      <x:c r="G71" s="19" t="n">
        <x:f>D71*(1+E71)/(1+SUM($F$66:$F$80))</x:f>
        <x:v>0.06640987154964068</x:v>
      </x:c>
      <x:c r="H71" s="21" t="n">
        <x:f>'Prices'!H79/'Prices'!I79-1</x:f>
        <x:v>0</x:v>
      </x:c>
    </x:row>
    <x:row r="72" ht="27" customHeight="1">
      <x:c r="A72" s="8" t="n">
        <x:v>46302</x:v>
      </x:c>
      <x:c r="B72" s="2" t="str">
        <x:v>Keyence</x:v>
      </x:c>
      <x:c r="C72" s="2" t="str">
        <x:v>6861</x:v>
      </x:c>
      <x:c r="D72" s="18" t="n">
        <x:f>G57</x:f>
        <x:v>0.06517415061222719</x:v>
      </x:c>
      <x:c r="E72" s="20" t="n">
        <x:f>'Prices'!H80/'Prices'!G80-1</x:f>
        <x:v>0.0008590011044300461</x:v>
      </x:c>
      <x:c r="F72" s="18" t="n">
        <x:f>D72*E72</x:f>
        <x:v>0.000055984667356193315</x:v>
      </x:c>
      <x:c r="G72" s="18" t="n">
        <x:f>D72*(1+E72)/(1+SUM($F$66:$F$80))</x:f>
        <x:v>0.0667042995515849</x:v>
      </x:c>
      <x:c r="H72" s="20" t="n">
        <x:f>'Prices'!H80/'Prices'!I80-1</x:f>
        <x:v>0.004433497536945774</x:v>
      </x:c>
    </x:row>
    <x:row r="73" ht="27" customHeight="1">
      <x:c r="A73" s="9" t="n">
        <x:v>46302</x:v>
      </x:c>
      <x:c r="B73" s="10" t="str">
        <x:v>Cognex</x:v>
      </x:c>
      <x:c r="C73" s="10" t="str">
        <x:v>CGNX</x:v>
      </x:c>
      <x:c r="D73" s="19" t="n">
        <x:f>G58</x:f>
        <x:v>0.06925290754960624</x:v>
      </x:c>
      <x:c r="E73" s="21" t="n">
        <x:f>'Prices'!H81/'Prices'!G81-1</x:f>
        <x:v>-0.07746797287113782</x:v>
      </x:c>
      <x:c r="F73" s="19" t="n">
        <x:f>D73*E73</x:f>
        <x:v>-0.005364882363300312</x:v>
      </x:c>
      <x:c r="G73" s="19" t="n">
        <x:f>D73*(1+E73)/(1+SUM($F$66:$F$80))</x:f>
        <x:v>0.06533185852705731</x:v>
      </x:c>
      <x:c r="H73" s="21" t="n">
        <x:f>'Prices'!H81/'Prices'!I81-1</x:f>
        <x:v>-0.016232722597235627</x:v>
      </x:c>
    </x:row>
    <x:row r="74" ht="27" customHeight="1">
      <x:c r="A74" s="8" t="n">
        <x:v>46302</x:v>
      </x:c>
      <x:c r="B74" s="2" t="str">
        <x:v>Ouster</x:v>
      </x:c>
      <x:c r="C74" s="2" t="str">
        <x:v>OUST</x:v>
      </x:c>
      <x:c r="D74" s="18" t="n">
        <x:f>G59</x:f>
        <x:v>0.07136175279474234</x:v>
      </x:c>
      <x:c r="E74" s="20" t="n">
        <x:f>'Prices'!H82/'Prices'!G82-1</x:f>
        <x:v>-0.07214428857715416</x:v>
      </x:c>
      <x:c r="F74" s="18" t="n">
        <x:f>D74*E74</x:f>
        <x:v>-0.005148342886995429</x:v>
      </x:c>
      <x:c r="G74" s="18" t="n">
        <x:f>D74*(1+E74)/(1+SUM($F$66:$F$80))</x:f>
        <x:v>0.06770979563184555</x:v>
      </x:c>
      <x:c r="H74" s="20" t="n">
        <x:f>'Prices'!H82/'Prices'!I82-1</x:f>
        <x:v>0.019574259848299524</x:v>
      </x:c>
    </x:row>
    <x:row r="75" ht="27" customHeight="1">
      <x:c r="A75" s="9" t="n">
        <x:v>46302</x:v>
      </x:c>
      <x:c r="B75" s="10" t="str">
        <x:v>Hesai</x:v>
      </x:c>
      <x:c r="C75" s="10" t="str">
        <x:v>HSAI</x:v>
      </x:c>
      <x:c r="D75" s="19" t="n">
        <x:f>G60</x:f>
        <x:v>0.06632830031053612</x:v>
      </x:c>
      <x:c r="E75" s="21" t="n">
        <x:f>'Prices'!H83/'Prices'!G83-1</x:f>
        <x:v>-0.01659496004917027</x:v>
      </x:c>
      <x:c r="F75" s="19" t="n">
        <x:f>D75*E75</x:f>
        <x:v>-0.001100715493782715</x:v>
      </x:c>
      <x:c r="G75" s="19" t="n">
        <x:f>D75*(1+E75)/(1+SUM($F$66:$F$80))</x:f>
        <x:v>0.06670169144973326</x:v>
      </x:c>
      <x:c r="H75" s="21" t="n">
        <x:f>'Prices'!H83/'Prices'!I83-1</x:f>
        <x:v>0.00439422473320783</x:v>
      </x:c>
    </x:row>
    <x:row r="76" ht="27" customHeight="1">
      <x:c r="A76" s="8" t="n">
        <x:v>46302</x:v>
      </x:c>
      <x:c r="B76" s="2" t="str">
        <x:v>Rockwell Automation</x:v>
      </x:c>
      <x:c r="C76" s="2" t="str">
        <x:v>ROK</x:v>
      </x:c>
      <x:c r="D76" s="18" t="n">
        <x:f>G61</x:f>
        <x:v>0.06615900914993696</x:v>
      </x:c>
      <x:c r="E76" s="20" t="n">
        <x:f>'Prices'!H84/'Prices'!G84-1</x:f>
        <x:v>-0.019612193282158352</x:v>
      </x:c>
      <x:c r="F76" s="18" t="n">
        <x:f>D76*E76</x:f>
        <x:v>-0.0012975232748046466</x:v>
      </x:c>
      <x:c r="G76" s="18" t="n">
        <x:f>D76*(1+E76)/(1+SUM($F$66:$F$80))</x:f>
        <x:v>0.06632731887848618</x:v>
      </x:c>
      <x:c r="H76" s="20" t="n">
        <x:f>'Prices'!H84/'Prices'!I84-1</x:f>
        <x:v>-0.0012430783139337764</x:v>
      </x:c>
    </x:row>
    <x:row r="77" ht="27" customHeight="1">
      <x:c r="A77" s="9" t="n">
        <x:v>46302</x:v>
      </x:c>
      <x:c r="B77" s="10" t="str">
        <x:v>Siemens</x:v>
      </x:c>
      <x:c r="C77" s="10" t="str">
        <x:v>SIE</x:v>
      </x:c>
      <x:c r="D77" s="19" t="n">
        <x:f>G62</x:f>
        <x:v>0.06663802038674975</x:v>
      </x:c>
      <x:c r="E77" s="21" t="n">
        <x:f>'Prices'!H85/'Prices'!G85-1</x:f>
        <x:v>-0.027956989247311825</x:v>
      </x:c>
      <x:c r="F77" s="19" t="n">
        <x:f>D77*E77</x:f>
        <x:v>-0.001862998419414509</x:v>
      </x:c>
      <x:c r="G77" s="19" t="n">
        <x:f>D77*(1+E77)/(1+SUM($F$66:$F$80))</x:f>
        <x:v>0.06623890093513261</x:v>
      </x:c>
      <x:c r="H77" s="21" t="n">
        <x:f>'Prices'!H85/'Prices'!I85-1</x:f>
        <x:v>-0.0025744759102610537</x:v>
      </x:c>
    </x:row>
    <x:row r="78" ht="27" customHeight="1">
      <x:c r="A78" s="8" t="n">
        <x:v>46302</x:v>
      </x:c>
      <x:c r="B78" s="2" t="str">
        <x:v>NXP Semiconductors</x:v>
      </x:c>
      <x:c r="C78" s="2" t="str">
        <x:v>NXPI</x:v>
      </x:c>
      <x:c r="D78" s="18" t="n">
        <x:f>G63</x:f>
        <x:v>0.06635134533160483</x:v>
      </x:c>
      <x:c r="E78" s="20" t="n">
        <x:f>'Prices'!H86/'Prices'!G86-1</x:f>
        <x:v>-0.037482609051477156</x:v>
      </x:c>
      <x:c r="F78" s="18" t="n">
        <x:f>D78*E78</x:f>
        <x:v>-0.002487021537104098</x:v>
      </x:c>
      <x:c r="G78" s="18" t="n">
        <x:f>D78*(1+E78)/(1+SUM($F$66:$F$80))</x:f>
        <x:v>0.06530762149716327</x:v>
      </x:c>
      <x:c r="H78" s="20" t="n">
        <x:f>'Prices'!H86/'Prices'!I86-1</x:f>
        <x:v>-0.016597683849659317</x:v>
      </x:c>
    </x:row>
    <x:row r="79" ht="27" customHeight="1">
      <x:c r="A79" s="9" t="n">
        <x:v>46302</x:v>
      </x:c>
      <x:c r="B79" s="10" t="str">
        <x:v>Daifuku</x:v>
      </x:c>
      <x:c r="C79" s="10" t="str">
        <x:v>6383</x:v>
      </x:c>
      <x:c r="D79" s="19" t="n">
        <x:f>G64</x:f>
        <x:v>0.06568829238196663</x:v>
      </x:c>
      <x:c r="E79" s="21" t="n">
        <x:f>'Prices'!H87/'Prices'!G87-1</x:f>
        <x:v>-0.004068486184099052</x:v>
      </x:c>
      <x:c r="F79" s="19" t="n">
        <x:f>D79*E79</x:f>
        <x:v>-0.00026725191001309025</x:v>
      </x:c>
      <x:c r="G79" s="19" t="n">
        <x:f>D79*(1+E79)/(1+SUM($F$66:$F$80))</x:f>
        <x:v>0.06689951909364521</x:v>
      </x:c>
      <x:c r="H79" s="21" t="n">
        <x:f>'Prices'!H87/'Prices'!I87-1</x:f>
        <x:v>0.007373113854595381</x:v>
      </x:c>
    </x:row>
    <x:row r="80" ht="27" customHeight="1">
      <x:c r="A80" s="8" t="n">
        <x:v>46302</x:v>
      </x:c>
      <x:c r="B80" s="2" t="str">
        <x:v>Hexagon</x:v>
      </x:c>
      <x:c r="C80" s="2" t="str">
        <x:v>HEXA B</x:v>
      </x:c>
      <x:c r="D80" s="18" t="n">
        <x:f>G65</x:f>
        <x:v>0.06784762726800124</x:v>
      </x:c>
      <x:c r="E80" s="20" t="n">
        <x:f>'Prices'!H88/'Prices'!G88-1</x:f>
        <x:v>-0.023199613339777714</x:v>
      </x:c>
      <x:c r="F80" s="18" t="n">
        <x:f>D80*E80</x:f>
        <x:v>-0.0015740387186389878</x:v>
      </x:c>
      <x:c r="G80" s="18" t="n">
        <x:f>D80*(1+E80)/(1+SUM($F$66:$F$80))</x:f>
        <x:v>0.06777133427682479</x:v>
      </x:c>
      <x:c r="H80" s="20" t="n">
        <x:f>'Prices'!H88/'Prices'!I88-1</x:f>
        <x:v>0.020500908907291393</x:v>
      </x:c>
    </x:row>
    <x:row r="81" ht="27" customHeight="1">
      <x:c r="A81" s="9" t="n">
        <x:v>46303</x:v>
      </x:c>
      <x:c r="B81" s="10" t="str">
        <x:v>FANUC</x:v>
      </x:c>
      <x:c r="C81" s="10" t="str">
        <x:v>6954</x:v>
      </x:c>
      <x:c r="D81" s="19" t="n">
        <x:f>G66</x:f>
        <x:v>0.06681091043446796</x:v>
      </x:c>
      <x:c r="E81" s="21" t="n">
        <x:f>'Prices'!H91/'Prices'!G91-1</x:f>
        <x:v>-0.02352368591823495</x:v>
      </x:c>
      <x:c r="F81" s="19" t="n">
        <x:f>D81*E81</x:f>
        <x:v>-0.0015716388729717504</x:v>
      </x:c>
      <x:c r="G81" s="19" t="n">
        <x:f>D81*(1+E81)/(1+SUM($F$81:$F$95))</x:f>
        <x:v>0.06704430190053146</x:v>
      </x:c>
      <x:c r="H81" s="21" t="n">
        <x:f>'Prices'!H91/'Prices'!I91-1</x:f>
        <x:v>-0.017626897339644176</x:v>
      </x:c>
    </x:row>
    <x:row r="82" ht="27" customHeight="1">
      <x:c r="A82" s="8" t="n">
        <x:v>46303</x:v>
      </x:c>
      <x:c r="B82" s="2" t="str">
        <x:v>Yaskawa Electric</x:v>
      </x:c>
      <x:c r="C82" s="2" t="str">
        <x:v>6506</x:v>
      </x:c>
      <x:c r="D82" s="18" t="n">
        <x:f>G67</x:f>
        <x:v>0.06873053456466267</x:v>
      </x:c>
      <x:c r="E82" s="20" t="n">
        <x:f>'Prices'!H92/'Prices'!G92-1</x:f>
        <x:v>-0.03174282248281435</x:v>
      </x:c>
      <x:c r="F82" s="18" t="n">
        <x:f>D82*E82</x:f>
        <x:v>-0.002181701157835023</x:v>
      </x:c>
      <x:c r="G82" s="18" t="n">
        <x:f>D82*(1+E82)/(1+SUM($F$81:$F$95))</x:f>
        <x:v>0.06839009650574954</x:v>
      </x:c>
      <x:c r="H82" s="20" t="n">
        <x:f>'Prices'!H92/'Prices'!I92-1</x:f>
        <x:v>0.0020924879681942787</x:v>
      </x:c>
    </x:row>
    <x:row r="83" ht="27" customHeight="1">
      <x:c r="A83" s="9" t="n">
        <x:v>46303</x:v>
      </x:c>
      <x:c r="B83" s="10" t="str">
        <x:v>Estun Automation</x:v>
      </x:c>
      <x:c r="C83" s="14" t="str">
        <x:v>002747</x:v>
      </x:c>
      <x:c r="D83" s="19" t="n">
        <x:f>G68</x:f>
        <x:v>0.06640987154964068</x:v>
      </x:c>
      <x:c r="E83" s="21" t="n">
        <x:f>'Prices'!H93/'Prices'!G93-1</x:f>
        <x:v>-0.04819277108433728</x:v>
      </x:c>
      <x:c r="F83" s="19" t="n">
        <x:f>D83*E83</x:f>
        <x:v>-0.0032004757373320764</x:v>
      </x:c>
      <x:c r="G83" s="19" t="n">
        <x:f>D83*(1+E83)/(1+SUM($F$81:$F$95))</x:f>
        <x:v>0.06495826385486109</x:v>
      </x:c>
      <x:c r="H83" s="21" t="n">
        <x:f>'Prices'!H93/'Prices'!I93-1</x:f>
        <x:v>-0.04819277108433728</x:v>
      </x:c>
    </x:row>
    <x:row r="84" ht="27" customHeight="1">
      <x:c r="A84" s="8" t="n">
        <x:v>46303</x:v>
      </x:c>
      <x:c r="B84" s="2" t="str">
        <x:v>Teradyne</x:v>
      </x:c>
      <x:c r="C84" s="2" t="str">
        <x:v>TER</x:v>
      </x:c>
      <x:c r="D84" s="18" t="n">
        <x:f>G69</x:f>
        <x:v>0.0657693953839944</x:v>
      </x:c>
      <x:c r="E84" s="20" t="n">
        <x:f>'Prices'!H94/'Prices'!G94-1</x:f>
        <x:v>-0.03171596483559169</x:v>
      </x:c>
      <x:c r="F84" s="18" t="n">
        <x:f>D84*E84</x:f>
        <x:v>-0.002085939831256893</x:v>
      </x:c>
      <x:c r="G84" s="18" t="n">
        <x:f>D84*(1+E84)/(1+SUM($F$81:$F$95))</x:f>
        <x:v>0.06544543980878394</x:v>
      </x:c>
      <x:c r="H84" s="20" t="n">
        <x:f>'Prices'!H94/'Prices'!I94-1</x:f>
        <x:v>-0.04105437841217918</x:v>
      </x:c>
    </x:row>
    <x:row r="85" ht="27" customHeight="1">
      <x:c r="A85" s="9" t="n">
        <x:v>46303</x:v>
      </x:c>
      <x:c r="B85" s="10" t="str">
        <x:v>Nabtesco</x:v>
      </x:c>
      <x:c r="C85" s="10" t="str">
        <x:v>6268</x:v>
      </x:c>
      <x:c r="D85" s="19" t="n">
        <x:f>G70</x:f>
        <x:v>0.06687707667612056</x:v>
      </x:c>
      <x:c r="E85" s="21" t="n">
        <x:f>'Prices'!H95/'Prices'!G95-1</x:f>
        <x:v>-0.04291417165668665</x:v>
      </x:c>
      <x:c r="F85" s="19" t="n">
        <x:f>D85*E85</x:f>
        <x:v>-0.0028699743483764327</x:v>
      </x:c>
      <x:c r="G85" s="19" t="n">
        <x:f>D85*(1+E85)/(1+SUM($F$81:$F$95))</x:f>
        <x:v>0.06577804119401282</x:v>
      </x:c>
      <x:c r="H85" s="21" t="n">
        <x:f>'Prices'!H95/'Prices'!I95-1</x:f>
        <x:v>-0.03618090452261302</x:v>
      </x:c>
    </x:row>
    <x:row r="86" ht="27" customHeight="1">
      <x:c r="A86" s="8" t="n">
        <x:v>46303</x:v>
      </x:c>
      <x:c r="B86" s="2" t="str">
        <x:v>Inovance</x:v>
      </x:c>
      <x:c r="C86" s="2" t="str">
        <x:v>300124</x:v>
      </x:c>
      <x:c r="D86" s="18" t="n">
        <x:f>G71</x:f>
        <x:v>0.06640987154964068</x:v>
      </x:c>
      <x:c r="E86" s="20" t="n">
        <x:f>'Prices'!H96/'Prices'!G96-1</x:f>
        <x:v>-0.039499036608863114</x:v>
      </x:c>
      <x:c r="F86" s="18" t="n">
        <x:f>D86*E86</x:f>
        <x:v>-0.002623125947529154</x:v>
      </x:c>
      <x:c r="G86" s="18" t="n">
        <x:f>D86*(1+E86)/(1+SUM($F$81:$F$95))</x:f>
        <x:v>0.06555158767168619</x:v>
      </x:c>
      <x:c r="H86" s="20" t="n">
        <x:f>'Prices'!H96/'Prices'!I96-1</x:f>
        <x:v>-0.039499036608863114</x:v>
      </x:c>
    </x:row>
    <x:row r="87" ht="27" customHeight="1">
      <x:c r="A87" s="9" t="n">
        <x:v>46303</x:v>
      </x:c>
      <x:c r="B87" s="10" t="str">
        <x:v>Keyence</x:v>
      </x:c>
      <x:c r="C87" s="10" t="str">
        <x:v>6861</x:v>
      </x:c>
      <x:c r="D87" s="19" t="n">
        <x:f>G72</x:f>
        <x:v>0.0667042995515849</x:v>
      </x:c>
      <x:c r="E87" s="21" t="n">
        <x:f>'Prices'!H97/'Prices'!G97-1</x:f>
        <x:v>-0.019127023050514946</x:v>
      </x:c>
      <x:c r="F87" s="19" t="n">
        <x:f>D87*E87</x:f>
        <x:v>-0.0012758546750916181</x:v>
      </x:c>
      <x:c r="G87" s="19" t="n">
        <x:f>D87*(1+E87)/(1+SUM($F$81:$F$95))</x:f>
        <x:v>0.06723870923431403</x:v>
      </x:c>
      <x:c r="H87" s="21" t="n">
        <x:f>'Prices'!H97/'Prices'!I97-1</x:f>
        <x:v>-0.014778325123152691</x:v>
      </x:c>
    </x:row>
    <x:row r="88" ht="27" customHeight="1">
      <x:c r="A88" s="8" t="n">
        <x:v>46303</x:v>
      </x:c>
      <x:c r="B88" s="2" t="str">
        <x:v>Cognex</x:v>
      </x:c>
      <x:c r="C88" s="2" t="str">
        <x:v>CGNX</x:v>
      </x:c>
      <x:c r="D88" s="18" t="n">
        <x:f>G73</x:f>
        <x:v>0.06533185852705731</x:v>
      </x:c>
      <x:c r="E88" s="20" t="n">
        <x:f>'Prices'!H98/'Prices'!G98-1</x:f>
        <x:v>-0.004901159941186117</x:v>
      </x:c>
      <x:c r="F88" s="18" t="n">
        <x:f>D88*E88</x:f>
        <x:v>-0.0003202018878960519</x:v>
      </x:c>
      <x:c r="G88" s="18" t="n">
        <x:f>D88*(1+E88)/(1+SUM($F$81:$F$95))</x:f>
        <x:v>0.06681038936280935</x:v>
      </x:c>
      <x:c r="H88" s="20" t="n">
        <x:f>'Prices'!H98/'Prices'!I98-1</x:f>
        <x:v>-0.02105432336869173</x:v>
      </x:c>
    </x:row>
    <x:row r="89" ht="27" customHeight="1">
      <x:c r="A89" s="9" t="n">
        <x:v>46303</x:v>
      </x:c>
      <x:c r="B89" s="10" t="str">
        <x:v>Ouster</x:v>
      </x:c>
      <x:c r="C89" s="10" t="str">
        <x:v>OUST</x:v>
      </x:c>
      <x:c r="D89" s="19" t="n">
        <x:f>G74</x:f>
        <x:v>0.06770979563184555</x:v>
      </x:c>
      <x:c r="E89" s="21" t="n">
        <x:f>'Prices'!H99/'Prices'!G99-1</x:f>
        <x:v>-0.0513558915286777</x:v>
      </x:c>
      <x:c r="F89" s="19" t="n">
        <x:f>D89*E89</x:f>
        <x:v>-0.0034772969198979954</x:v>
      </x:c>
      <x:c r="G89" s="19" t="n">
        <x:f>D89*(1+E89)/(1+SUM($F$81:$F$95))</x:f>
        <x:v>0.06600967381142453</x:v>
      </x:c>
      <x:c r="H89" s="21" t="n">
        <x:f>'Prices'!H99/'Prices'!I99-1</x:f>
        <x:v>-0.032786885245901565</x:v>
      </x:c>
    </x:row>
    <x:row r="90" ht="27" customHeight="1">
      <x:c r="A90" s="8" t="n">
        <x:v>46303</x:v>
      </x:c>
      <x:c r="B90" s="2" t="str">
        <x:v>Hesai</x:v>
      </x:c>
      <x:c r="C90" s="2" t="str">
        <x:v>HSAI</x:v>
      </x:c>
      <x:c r="D90" s="18" t="n">
        <x:f>G75</x:f>
        <x:v>0.06670169144973326</x:v>
      </x:c>
      <x:c r="E90" s="20" t="n">
        <x:f>'Prices'!H100/'Prices'!G100-1</x:f>
        <x:v>-0.024375000000000036</x:v>
      </x:c>
      <x:c r="F90" s="18" t="n">
        <x:f>D90*E90</x:f>
        <x:v>-0.0016258537290872504</x:v>
      </x:c>
      <x:c r="G90" s="18" t="n">
        <x:f>D90*(1+E90)/(1+SUM($F$81:$F$95))</x:f>
        <x:v>0.06687634619678949</x:v>
      </x:c>
      <x:c r="H90" s="20" t="n">
        <x:f>'Prices'!H100/'Prices'!I100-1</x:f>
        <x:v>-0.020087884494664143</x:v>
      </x:c>
    </x:row>
    <x:row r="91" ht="27" customHeight="1">
      <x:c r="A91" s="9" t="n">
        <x:v>46303</x:v>
      </x:c>
      <x:c r="B91" s="10" t="str">
        <x:v>Rockwell Automation</x:v>
      </x:c>
      <x:c r="C91" s="10" t="str">
        <x:v>ROK</x:v>
      </x:c>
      <x:c r="D91" s="19" t="n">
        <x:f>G76</x:f>
        <x:v>0.06632731887848618</x:v>
      </x:c>
      <x:c r="E91" s="21" t="n">
        <x:f>'Prices'!H101/'Prices'!G101-1</x:f>
        <x:v>-0.017560534057479038</x:v>
      </x:c>
      <x:c r="F91" s="19" t="n">
        <x:f>D91*E91</x:f>
        <x:v>-0.001164743142106929</x:v>
      </x:c>
      <x:c r="G91" s="19" t="n">
        <x:f>D91*(1+E91)/(1+SUM($F$81:$F$95))</x:f>
        <x:v>0.0669654840668773</x:v>
      </x:c>
      <x:c r="H91" s="21" t="n">
        <x:f>'Prices'!H101/'Prices'!I101-1</x:f>
        <x:v>-0.01878178325234492</x:v>
      </x:c>
    </x:row>
    <x:row r="92" ht="27" customHeight="1">
      <x:c r="A92" s="8" t="n">
        <x:v>46303</x:v>
      </x:c>
      <x:c r="B92" s="2" t="str">
        <x:v>Siemens</x:v>
      </x:c>
      <x:c r="C92" s="2" t="str">
        <x:v>SIE</x:v>
      </x:c>
      <x:c r="D92" s="18" t="n">
        <x:f>G77</x:f>
        <x:v>0.06623890093513261</x:v>
      </x:c>
      <x:c r="E92" s="20" t="n">
        <x:f>'Prices'!H102/'Prices'!G102-1</x:f>
        <x:v>-0.02562684365781709</x:v>
      </x:c>
      <x:c r="F92" s="18" t="n">
        <x:f>D92*E92</x:f>
        <x:v>-0.0016974939583302776</x:v>
      </x:c>
      <x:c r="G92" s="18" t="n">
        <x:f>D92*(1+E92)/(1+SUM($F$81:$F$95))</x:f>
        <x:v>0.06632712890362265</x:v>
      </x:c>
      <x:c r="H92" s="20" t="n">
        <x:f>'Prices'!H102/'Prices'!I102-1</x:f>
        <x:v>-0.028135343876425023</x:v>
      </x:c>
    </x:row>
    <x:row r="93" ht="27" customHeight="1">
      <x:c r="A93" s="9" t="n">
        <x:v>46303</x:v>
      </x:c>
      <x:c r="B93" s="10" t="str">
        <x:v>NXP Semiconductors</x:v>
      </x:c>
      <x:c r="C93" s="10" t="str">
        <x:v>NXPI</x:v>
      </x:c>
      <x:c r="D93" s="19" t="n">
        <x:f>G78</x:f>
        <x:v>0.06530762149716327</x:v>
      </x:c>
      <x:c r="E93" s="21" t="n">
        <x:f>'Prices'!H103/'Prices'!G103-1</x:f>
        <x:v>-0.017643057563132447</x:v>
      </x:c>
      <x:c r="F93" s="19" t="n">
        <x:f>D93*E93</x:f>
        <x:v>-0.0011522261253857176</x:v>
      </x:c>
      <x:c r="G93" s="19" t="n">
        <x:f>D93*(1+E93)/(1+SUM($F$81:$F$95))</x:f>
        <x:v>0.06593043718765222</x:v>
      </x:c>
      <x:c r="H93" s="21" t="n">
        <x:f>'Prices'!H103/'Prices'!I103-1</x:f>
        <x:v>-0.03394790752121746</x:v>
      </x:c>
    </x:row>
    <x:row r="94" ht="27" customHeight="1">
      <x:c r="A94" s="8" t="n">
        <x:v>46303</x:v>
      </x:c>
      <x:c r="B94" s="2" t="str">
        <x:v>Daifuku</x:v>
      </x:c>
      <x:c r="C94" s="2" t="str">
        <x:v>6383</x:v>
      </x:c>
      <x:c r="D94" s="18" t="n">
        <x:f>G79</x:f>
        <x:v>0.06689951909364521</x:v>
      </x:c>
      <x:c r="E94" s="20" t="n">
        <x:f>'Prices'!H104/'Prices'!G104-1</x:f>
        <x:v>-0.027063829787234095</x:v>
      </x:c>
      <x:c r="F94" s="18" t="n">
        <x:f>D94*E94</x:f>
        <x:v>-0.0018105571975982311</x:v>
      </x:c>
      <x:c r="G94" s="18" t="n">
        <x:f>D94*(1+E94)/(1+SUM($F$81:$F$95))</x:f>
        <x:v>0.06688983348989865</x:v>
      </x:c>
      <x:c r="H94" s="20" t="n">
        <x:f>'Prices'!H104/'Prices'!I104-1</x:f>
        <x:v>-0.01989026063100141</x:v>
      </x:c>
    </x:row>
    <x:row r="95" ht="27" customHeight="1">
      <x:c r="A95" s="9" t="n">
        <x:v>46303</x:v>
      </x:c>
      <x:c r="B95" s="10" t="str">
        <x:v>Hexagon</x:v>
      </x:c>
      <x:c r="C95" s="10" t="str">
        <x:v>HEXA B</x:v>
      </x:c>
      <x:c r="D95" s="19" t="n">
        <x:f>G80</x:f>
        <x:v>0.06777133427682479</x:v>
      </x:c>
      <x:c r="E95" s="21" t="n">
        <x:f>'Prices'!H105/'Prices'!G105-1</x:f>
        <x:v>0.0019792182088076427</x:v>
      </x:c>
      <x:c r="F95" s="19" t="n">
        <x:f>D95*E95</x:f>
        <x:v>0.00013413425883588114</x:v>
      </x:c>
      <x:c r="G95" s="19" t="n">
        <x:f>D95*(1+E95)/(1+SUM($F$81:$F$95))</x:f>
        <x:v>0.06978426681098678</x:v>
      </x:c>
      <x:c r="H95" s="21" t="n">
        <x:f>'Prices'!H105/'Prices'!I105-1</x:f>
        <x:v>0.022520702888305433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613e34d01b3142e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17" hidden="0" customWidth="1"/>
    <x:col min="3" max="3" width="18" hidden="0" customWidth="1"/>
    <x:col min="4" max="4" width="18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1" hidden="0" customWidth="1"/>
    <x:col min="10" max="10" width="60" hidden="0" customWidth="1"/>
    <x:col min="11" max="11" width="60" hidden="0" customWidth="1"/>
    <x:col min="12" max="12" width="25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7" customHeight="1">
      <x:c r="A2" s="3" t="str">
        <x:v>Marketstack source history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7" customHeight="1">
      <x:c r="A3" s="4" t="str">
        <x:v>Raw receipts are immutable. Closed-market rows retain the date and evidence for their earlier source close.</x:v>
      </x:c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</x:row>
    <x:row r="4" ht="27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7" t="str">
        <x:v>Date</x:v>
      </x:c>
      <x:c r="B5" s="7" t="str">
        <x:v>Ticker</x:v>
      </x:c>
      <x:c r="C5" s="7" t="str">
        <x:v>Raw close</x:v>
      </x:c>
      <x:c r="D5" s="7" t="str">
        <x:v>Adjusted close</x:v>
      </x:c>
      <x:c r="E5" s="7" t="str">
        <x:v>Dividend</x:v>
      </x:c>
      <x:c r="F5" s="7" t="str">
        <x:v>Split factor</x:v>
      </x:c>
      <x:c r="G5" s="7" t="str">
        <x:v>Expected MIC</x:v>
      </x:c>
      <x:c r="H5" s="7" t="str">
        <x:v>Received MIC</x:v>
      </x:c>
      <x:c r="I5" s="7" t="str">
        <x:v>Validation</x:v>
      </x:c>
      <x:c r="J5" s="7" t="str">
        <x:v>Raw receipt</x:v>
      </x:c>
      <x:c r="K5" s="7" t="str">
        <x:v>Exchange calendar</x:v>
      </x:c>
      <x:c r="L5" s="7" t="str">
        <x:v>Fetched at (UTC)</x:v>
      </x:c>
    </x:row>
    <x:row r="6" ht="50" customHeight="1">
      <x:c r="A6" s="8" t="n">
        <x:v>46296</x:v>
      </x:c>
      <x:c r="B6" s="2" t="str">
        <x:v>6954</x:v>
      </x:c>
      <x:c r="C6" s="15" t="n">
        <x:v>6127</x:v>
      </x:c>
      <x:c r="D6" s="15" t="n">
        <x:v>6127</x:v>
      </x:c>
      <x:c r="E6" s="15" t="n">
        <x:v>0</x:v>
      </x:c>
      <x:c r="F6" s="32" t="n">
        <x:v>1</x:v>
      </x:c>
      <x:c r="G6" s="2" t="str">
        <x:v>XJPX</x:v>
      </x:c>
      <x:c r="H6" s="2" t="str">
        <x:v>XJPX</x:v>
      </x:c>
      <x:c r="I6" s="11" t="str">
        <x:f>IF(AND(G6=H6,C6&gt;0,ABS(C6-'Prices'!H6)&lt;=MAX(0.01,'Prices'!H6*0.000001)),"Match","Mismatch")</x:f>
        <x:v>Match</x:v>
      </x:c>
      <x:c r="J6" s="34" t="str">
        <x:v>data/bspi15/raw/marketstack/2026-10-09T11-49-33-071Z/constituents-v2.json</x:v>
      </x:c>
      <x:c r="K6" s="34" t="str"/>
      <x:c r="L6" s="35" t="n">
        <x:v>46304.492743877316</x:v>
      </x:c>
    </x:row>
    <x:row r="7" ht="50" customHeight="1">
      <x:c r="A7" s="9" t="n">
        <x:v>46296</x:v>
      </x:c>
      <x:c r="B7" s="10" t="str">
        <x:v>6506</x:v>
      </x:c>
      <x:c r="C7" s="29" t="n">
        <x:v>4779</x:v>
      </x:c>
      <x:c r="D7" s="29" t="n">
        <x:v>4779</x:v>
      </x:c>
      <x:c r="E7" s="29" t="n">
        <x:v>0</x:v>
      </x:c>
      <x:c r="F7" s="33" t="n">
        <x:v>1</x:v>
      </x:c>
      <x:c r="G7" s="10" t="str">
        <x:v>XJPX</x:v>
      </x:c>
      <x:c r="H7" s="10" t="str">
        <x:v>XJPX</x:v>
      </x:c>
      <x:c r="I7" s="12" t="str">
        <x:f>IF(AND(G7=H7,C7&gt;0,ABS(C7-'Prices'!H7)&lt;=MAX(0.01,'Prices'!H7*0.000001)),"Match","Mismatch")</x:f>
        <x:v>Match</x:v>
      </x:c>
      <x:c r="J7" s="36" t="str">
        <x:v>data/bspi15/raw/marketstack/2026-10-09T11-49-33-071Z/constituents-v2.json</x:v>
      </x:c>
      <x:c r="K7" s="36" t="str"/>
      <x:c r="L7" s="37" t="n">
        <x:v>46304.492743877316</x:v>
      </x:c>
    </x:row>
    <x:row r="8" ht="50" customHeight="1">
      <x:c r="A8" s="8" t="n">
        <x:v>46296</x:v>
      </x:c>
      <x:c r="B8" s="13" t="str">
        <x:v>002747</x:v>
      </x:c>
      <x:c r="C8" s="15" t="n">
        <x:v>28.22</x:v>
      </x:c>
      <x:c r="D8" s="15" t="n">
        <x:v>28.22</x:v>
      </x:c>
      <x:c r="E8" s="15" t="n">
        <x:v>0</x:v>
      </x:c>
      <x:c r="F8" s="32" t="n">
        <x:v>1</x:v>
      </x:c>
      <x:c r="G8" s="2" t="str">
        <x:v>XSHE</x:v>
      </x:c>
      <x:c r="H8" s="2" t="str">
        <x:v>XSHE</x:v>
      </x:c>
      <x:c r="I8" s="11" t="str">
        <x:f>IF(AND(G8=H8,C8&gt;0,ABS(C8-'Prices'!H8)&lt;=MAX(0.01,'Prices'!H8*0.000001)),"Verified closure","Mismatch")</x:f>
        <x:v>Verified closure</x:v>
      </x:c>
      <x:c r="J8" s="34" t="str">
        <x:v>data/bspi15/raw/marketstack/2026-10-09T11-49-33-071Z/constituents-v2.json</x:v>
      </x:c>
      <x:c r="K8" s="34" t="str">
        <x:v>https://www.szse.cn/disclosure/notice/t20251222_618087.html</x:v>
      </x:c>
      <x:c r="L8" s="35" t="n">
        <x:v>46304.492743877316</x:v>
      </x:c>
    </x:row>
    <x:row r="9" ht="50" customHeight="1">
      <x:c r="A9" s="9" t="n">
        <x:v>46296</x:v>
      </x:c>
      <x:c r="B9" s="10" t="str">
        <x:v>TER</x:v>
      </x:c>
      <x:c r="C9" s="29" t="n">
        <x:v>415.79</x:v>
      </x:c>
      <x:c r="D9" s="29" t="n">
        <x:v>415.79</x:v>
      </x:c>
      <x:c r="E9" s="29" t="n">
        <x:v>0</x:v>
      </x:c>
      <x:c r="F9" s="33" t="n">
        <x:v>1</x:v>
      </x:c>
      <x:c r="G9" s="10" t="str">
        <x:v>XNAS</x:v>
      </x:c>
      <x:c r="H9" s="10" t="str">
        <x:v>XNAS</x:v>
      </x:c>
      <x:c r="I9" s="12" t="str">
        <x:f>IF(AND(G9=H9,C9&gt;0,ABS(C9-'Prices'!H9)&lt;=MAX(0.01,'Prices'!H9*0.000001)),"Match","Mismatch")</x:f>
        <x:v>Match</x:v>
      </x:c>
      <x:c r="J9" s="36" t="str">
        <x:v>data/bspi15/raw/marketstack/2026-10-09T11-49-33-071Z/constituents-v2.json</x:v>
      </x:c>
      <x:c r="K9" s="36" t="str"/>
      <x:c r="L9" s="37" t="n">
        <x:v>46304.492743877316</x:v>
      </x:c>
    </x:row>
    <x:row r="10" ht="50" customHeight="1">
      <x:c r="A10" s="8" t="n">
        <x:v>46296</x:v>
      </x:c>
      <x:c r="B10" s="2" t="str">
        <x:v>6268</x:v>
      </x:c>
      <x:c r="C10" s="15" t="n">
        <x:v>4975</x:v>
      </x:c>
      <x:c r="D10" s="15" t="n">
        <x:v>4975</x:v>
      </x:c>
      <x:c r="E10" s="15" t="n">
        <x:v>0</x:v>
      </x:c>
      <x:c r="F10" s="32" t="n">
        <x:v>1</x:v>
      </x:c>
      <x:c r="G10" s="2" t="str">
        <x:v>XJPX</x:v>
      </x:c>
      <x:c r="H10" s="2" t="str">
        <x:v>XJPX</x:v>
      </x:c>
      <x:c r="I10" s="11" t="str">
        <x:f>IF(AND(G10=H10,C10&gt;0,ABS(C10-'Prices'!H10)&lt;=MAX(0.01,'Prices'!H10*0.000001)),"Match","Mismatch")</x:f>
        <x:v>Match</x:v>
      </x:c>
      <x:c r="J10" s="34" t="str">
        <x:v>data/bspi15/raw/marketstack/2026-10-09T11-49-33-071Z/constituents-v2.json</x:v>
      </x:c>
      <x:c r="K10" s="34" t="str"/>
      <x:c r="L10" s="35" t="n">
        <x:v>46304.492743877316</x:v>
      </x:c>
    </x:row>
    <x:row r="11" ht="50" customHeight="1">
      <x:c r="A11" s="9" t="n">
        <x:v>46296</x:v>
      </x:c>
      <x:c r="B11" s="10" t="str">
        <x:v>300124</x:v>
      </x:c>
      <x:c r="C11" s="29" t="n">
        <x:v>51.9</x:v>
      </x:c>
      <x:c r="D11" s="29" t="n">
        <x:v>51.9</x:v>
      </x:c>
      <x:c r="E11" s="29" t="n">
        <x:v>0</x:v>
      </x:c>
      <x:c r="F11" s="33" t="n">
        <x:v>1</x:v>
      </x:c>
      <x:c r="G11" s="10" t="str">
        <x:v>XSHE</x:v>
      </x:c>
      <x:c r="H11" s="10" t="str">
        <x:v>XSHE</x:v>
      </x:c>
      <x:c r="I11" s="12" t="str">
        <x:f>IF(AND(G11=H11,C11&gt;0,ABS(C11-'Prices'!H11)&lt;=MAX(0.01,'Prices'!H11*0.000001)),"Verified closure","Mismatch")</x:f>
        <x:v>Verified closure</x:v>
      </x:c>
      <x:c r="J11" s="36" t="str">
        <x:v>data/bspi15/raw/marketstack/2026-10-09T11-49-33-071Z/constituents-v2.json</x:v>
      </x:c>
      <x:c r="K11" s="36" t="str">
        <x:v>https://www.szse.cn/disclosure/notice/t20251222_618087.html</x:v>
      </x:c>
      <x:c r="L11" s="37" t="n">
        <x:v>46304.492743877316</x:v>
      </x:c>
    </x:row>
    <x:row r="12" ht="50" customHeight="1">
      <x:c r="A12" s="8" t="n">
        <x:v>46296</x:v>
      </x:c>
      <x:c r="B12" s="2" t="str">
        <x:v>6861</x:v>
      </x:c>
      <x:c r="C12" s="15" t="n">
        <x:v>81200</x:v>
      </x:c>
      <x:c r="D12" s="15" t="n">
        <x:v>81200</x:v>
      </x:c>
      <x:c r="E12" s="15" t="n">
        <x:v>0</x:v>
      </x:c>
      <x:c r="F12" s="32" t="n">
        <x:v>1</x:v>
      </x:c>
      <x:c r="G12" s="2" t="str">
        <x:v>XJPX</x:v>
      </x:c>
      <x:c r="H12" s="2" t="str">
        <x:v>XJPX</x:v>
      </x:c>
      <x:c r="I12" s="11" t="str">
        <x:f>IF(AND(G12=H12,C12&gt;0,ABS(C12-'Prices'!H12)&lt;=MAX(0.01,'Prices'!H12*0.000001)),"Match","Mismatch")</x:f>
        <x:v>Match</x:v>
      </x:c>
      <x:c r="J12" s="34" t="str">
        <x:v>data/bspi15/raw/marketstack/2026-10-09T11-49-33-071Z/constituents-v2.json</x:v>
      </x:c>
      <x:c r="K12" s="34" t="str"/>
      <x:c r="L12" s="35" t="n">
        <x:v>46304.492743877316</x:v>
      </x:c>
    </x:row>
    <x:row r="13" ht="50" customHeight="1">
      <x:c r="A13" s="9" t="n">
        <x:v>46296</x:v>
      </x:c>
      <x:c r="B13" s="10" t="str">
        <x:v>CGNX</x:v>
      </x:c>
      <x:c r="C13" s="29" t="n">
        <x:v>62.22</x:v>
      </x:c>
      <x:c r="D13" s="29" t="n">
        <x:v>62.22</x:v>
      </x:c>
      <x:c r="E13" s="29" t="n">
        <x:v>0</x:v>
      </x:c>
      <x:c r="F13" s="33" t="n">
        <x:v>1</x:v>
      </x:c>
      <x:c r="G13" s="10" t="str">
        <x:v>XNAS</x:v>
      </x:c>
      <x:c r="H13" s="10" t="str">
        <x:v>XNAS</x:v>
      </x:c>
      <x:c r="I13" s="12" t="str">
        <x:f>IF(AND(G13=H13,C13&gt;0,ABS(C13-'Prices'!H13)&lt;=MAX(0.01,'Prices'!H13*0.000001)),"Match","Mismatch")</x:f>
        <x:v>Match</x:v>
      </x:c>
      <x:c r="J13" s="36" t="str">
        <x:v>data/bspi15/raw/marketstack/2026-10-09T11-49-33-071Z/constituents-v2.json</x:v>
      </x:c>
      <x:c r="K13" s="36" t="str"/>
      <x:c r="L13" s="37" t="n">
        <x:v>46304.492743877316</x:v>
      </x:c>
    </x:row>
    <x:row r="14" ht="50" customHeight="1">
      <x:c r="A14" s="8" t="n">
        <x:v>46296</x:v>
      </x:c>
      <x:c r="B14" s="2" t="str">
        <x:v>OUST</x:v>
      </x:c>
      <x:c r="C14" s="15" t="n">
        <x:v>40.87</x:v>
      </x:c>
      <x:c r="D14" s="15" t="n">
        <x:v>40.87</x:v>
      </x:c>
      <x:c r="E14" s="15" t="n">
        <x:v>0</x:v>
      </x:c>
      <x:c r="F14" s="32" t="n">
        <x:v>1</x:v>
      </x:c>
      <x:c r="G14" s="2" t="str">
        <x:v>XNYS</x:v>
      </x:c>
      <x:c r="H14" s="2" t="str">
        <x:v>XNYS</x:v>
      </x:c>
      <x:c r="I14" s="11" t="str">
        <x:f>IF(AND(G14=H14,C14&gt;0,ABS(C14-'Prices'!H14)&lt;=MAX(0.01,'Prices'!H14*0.000001)),"Match","Mismatch")</x:f>
        <x:v>Match</x:v>
      </x:c>
      <x:c r="J14" s="34" t="str">
        <x:v>data/bspi15/raw/marketstack/2026-10-09T11-49-33-071Z/constituents-v2.json</x:v>
      </x:c>
      <x:c r="K14" s="34" t="str"/>
      <x:c r="L14" s="35" t="n">
        <x:v>46304.492743877316</x:v>
      </x:c>
    </x:row>
    <x:row r="15" ht="50" customHeight="1">
      <x:c r="A15" s="9" t="n">
        <x:v>46296</x:v>
      </x:c>
      <x:c r="B15" s="10" t="str">
        <x:v>HSAI</x:v>
      </x:c>
      <x:c r="C15" s="29" t="n">
        <x:v>15.93</x:v>
      </x:c>
      <x:c r="D15" s="29" t="n">
        <x:v>15.93</x:v>
      </x:c>
      <x:c r="E15" s="29" t="n">
        <x:v>0</x:v>
      </x:c>
      <x:c r="F15" s="33" t="n">
        <x:v>1</x:v>
      </x:c>
      <x:c r="G15" s="10" t="str">
        <x:v>XNAS</x:v>
      </x:c>
      <x:c r="H15" s="10" t="str">
        <x:v>XNAS</x:v>
      </x:c>
      <x:c r="I15" s="12" t="str">
        <x:f>IF(AND(G15=H15,C15&gt;0,ABS(C15-'Prices'!H15)&lt;=MAX(0.01,'Prices'!H15*0.000001)),"Match","Mismatch")</x:f>
        <x:v>Match</x:v>
      </x:c>
      <x:c r="J15" s="36" t="str">
        <x:v>data/bspi15/raw/marketstack/2026-10-09T11-49-33-071Z/constituents-v2.json</x:v>
      </x:c>
      <x:c r="K15" s="36" t="str"/>
      <x:c r="L15" s="37" t="n">
        <x:v>46304.492743877316</x:v>
      </x:c>
    </x:row>
    <x:row r="16" ht="50" customHeight="1">
      <x:c r="A16" s="8" t="n">
        <x:v>46296</x:v>
      </x:c>
      <x:c r="B16" s="2" t="str">
        <x:v>ROK</x:v>
      </x:c>
      <x:c r="C16" s="15" t="n">
        <x:v>442.45</x:v>
      </x:c>
      <x:c r="D16" s="15" t="n">
        <x:v>442.45</x:v>
      </x:c>
      <x:c r="E16" s="15" t="n">
        <x:v>0</x:v>
      </x:c>
      <x:c r="F16" s="32" t="n">
        <x:v>1</x:v>
      </x:c>
      <x:c r="G16" s="2" t="str">
        <x:v>XNYS</x:v>
      </x:c>
      <x:c r="H16" s="2" t="str">
        <x:v>XNYS</x:v>
      </x:c>
      <x:c r="I16" s="11" t="str">
        <x:f>IF(AND(G16=H16,C16&gt;0,ABS(C16-'Prices'!H16)&lt;=MAX(0.01,'Prices'!H16*0.000001)),"Match","Mismatch")</x:f>
        <x:v>Match</x:v>
      </x:c>
      <x:c r="J16" s="34" t="str">
        <x:v>data/bspi15/raw/marketstack/2026-10-09T11-49-33-071Z/constituents-v2.json</x:v>
      </x:c>
      <x:c r="K16" s="34" t="str"/>
      <x:c r="L16" s="35" t="n">
        <x:v>46304.492743877316</x:v>
      </x:c>
    </x:row>
    <x:row r="17" ht="50" customHeight="1">
      <x:c r="A17" s="9" t="n">
        <x:v>46296</x:v>
      </x:c>
      <x:c r="B17" s="10" t="str">
        <x:v>SIE</x:v>
      </x:c>
      <x:c r="C17" s="29" t="n">
        <x:v>271.9</x:v>
      </x:c>
      <x:c r="D17" s="29" t="n">
        <x:v>271.9</x:v>
      </x:c>
      <x:c r="E17" s="29" t="n">
        <x:v>0</x:v>
      </x:c>
      <x:c r="F17" s="33" t="n">
        <x:v>1</x:v>
      </x:c>
      <x:c r="G17" s="10" t="str">
        <x:v>XETR</x:v>
      </x:c>
      <x:c r="H17" s="10" t="str">
        <x:v>XETR</x:v>
      </x:c>
      <x:c r="I17" s="12" t="str">
        <x:f>IF(AND(G17=H17,C17&gt;0,ABS(C17-'Prices'!H17)&lt;=MAX(0.01,'Prices'!H17*0.000001)),"Match","Mismatch")</x:f>
        <x:v>Match</x:v>
      </x:c>
      <x:c r="J17" s="36" t="str">
        <x:v>data/bspi15/raw/marketstack/2026-10-09T11-49-33-071Z/constituents-v2.json</x:v>
      </x:c>
      <x:c r="K17" s="36" t="str"/>
      <x:c r="L17" s="37" t="n">
        <x:v>46304.492743877316</x:v>
      </x:c>
    </x:row>
    <x:row r="18" ht="50" customHeight="1">
      <x:c r="A18" s="8" t="n">
        <x:v>46296</x:v>
      </x:c>
      <x:c r="B18" s="2" t="str">
        <x:v>NXPI</x:v>
      </x:c>
      <x:c r="C18" s="15" t="n">
        <x:v>239.19</x:v>
      </x:c>
      <x:c r="D18" s="15" t="n">
        <x:v>239.19</x:v>
      </x:c>
      <x:c r="E18" s="15" t="n">
        <x:v>0</x:v>
      </x:c>
      <x:c r="F18" s="32" t="n">
        <x:v>1</x:v>
      </x:c>
      <x:c r="G18" s="2" t="str">
        <x:v>XNAS</x:v>
      </x:c>
      <x:c r="H18" s="2" t="str">
        <x:v>XNAS</x:v>
      </x:c>
      <x:c r="I18" s="11" t="str">
        <x:f>IF(AND(G18=H18,C18&gt;0,ABS(C18-'Prices'!H18)&lt;=MAX(0.01,'Prices'!H18*0.000001)),"Match","Mismatch")</x:f>
        <x:v>Match</x:v>
      </x:c>
      <x:c r="J18" s="34" t="str">
        <x:v>data/bspi15/raw/marketstack/2026-10-09T11-49-33-071Z/constituents-v2.json</x:v>
      </x:c>
      <x:c r="K18" s="34" t="str"/>
      <x:c r="L18" s="35" t="n">
        <x:v>46304.492743877316</x:v>
      </x:c>
    </x:row>
    <x:row r="19" ht="50" customHeight="1">
      <x:c r="A19" s="9" t="n">
        <x:v>46296</x:v>
      </x:c>
      <x:c r="B19" s="10" t="str">
        <x:v>6383</x:v>
      </x:c>
      <x:c r="C19" s="29" t="n">
        <x:v>5832</x:v>
      </x:c>
      <x:c r="D19" s="29" t="n">
        <x:v>5832</x:v>
      </x:c>
      <x:c r="E19" s="29" t="n">
        <x:v>0</x:v>
      </x:c>
      <x:c r="F19" s="33" t="n">
        <x:v>1</x:v>
      </x:c>
      <x:c r="G19" s="10" t="str">
        <x:v>XJPX</x:v>
      </x:c>
      <x:c r="H19" s="10" t="str">
        <x:v>XJPX</x:v>
      </x:c>
      <x:c r="I19" s="12" t="str">
        <x:f>IF(AND(G19=H19,C19&gt;0,ABS(C19-'Prices'!H19)&lt;=MAX(0.01,'Prices'!H19*0.000001)),"Match","Mismatch")</x:f>
        <x:v>Match</x:v>
      </x:c>
      <x:c r="J19" s="36" t="str">
        <x:v>data/bspi15/raw/marketstack/2026-10-09T11-49-33-071Z/constituents-v2.json</x:v>
      </x:c>
      <x:c r="K19" s="36" t="str"/>
      <x:c r="L19" s="37" t="n">
        <x:v>46304.492743877316</x:v>
      </x:c>
    </x:row>
    <x:row r="20" ht="50" customHeight="1">
      <x:c r="A20" s="8" t="n">
        <x:v>46296</x:v>
      </x:c>
      <x:c r="B20" s="2" t="str">
        <x:v>HEXA B</x:v>
      </x:c>
      <x:c r="C20" s="15" t="n">
        <x:v>99.02</x:v>
      </x:c>
      <x:c r="D20" s="15" t="n">
        <x:v>99.02</x:v>
      </x:c>
      <x:c r="E20" s="15" t="n">
        <x:v>0</x:v>
      </x:c>
      <x:c r="F20" s="32" t="n">
        <x:v>1</x:v>
      </x:c>
      <x:c r="G20" s="2" t="str">
        <x:v>XSTO</x:v>
      </x:c>
      <x:c r="H20" s="2" t="str">
        <x:v>XSTO</x:v>
      </x:c>
      <x:c r="I20" s="11" t="str">
        <x:f>IF(AND(G20=H20,C20&gt;0,ABS(C20-'Prices'!H20)&lt;=MAX(0.01,'Prices'!H20*0.000001)),"Match","Mismatch")</x:f>
        <x:v>Match</x:v>
      </x:c>
      <x:c r="J20" s="34" t="str">
        <x:v>data/bspi15/raw/marketstack/2026-10-09T11-49-33-071Z/constituents-v2.json</x:v>
      </x:c>
      <x:c r="K20" s="34" t="str"/>
      <x:c r="L20" s="35" t="n">
        <x:v>46304.492743877316</x:v>
      </x:c>
    </x:row>
    <x:row r="21" ht="50" customHeight="1">
      <x:c r="A21" s="9" t="n">
        <x:v>46296</x:v>
      </x:c>
      <x:c r="B21" s="10" t="str">
        <x:v>S&amp;P 500</x:v>
      </x:c>
      <x:c r="C21" s="29" t="n">
        <x:v>7666.45</x:v>
      </x:c>
      <x:c r="D21" s="29" t="n">
        <x:v>7666.45</x:v>
      </x:c>
      <x:c r="E21" s="29" t="n">
        <x:v>0</x:v>
      </x:c>
      <x:c r="F21" s="33" t="n">
        <x:v>1</x:v>
      </x:c>
      <x:c r="G21" s="10" t="str">
        <x:v>INDX</x:v>
      </x:c>
      <x:c r="H21" s="10" t="str">
        <x:v>INDX</x:v>
      </x:c>
      <x:c r="I21" s="12" t="str">
        <x:f>IF(AND(G21=H21,C21&gt;0,ABS(C21-'Prices'!H21)&lt;=MAX(0.01,'Prices'!H21*0.000001)),"Match","Mismatch")</x:f>
        <x:v>Match</x:v>
      </x:c>
      <x:c r="J21" s="36" t="str">
        <x:v>data/bspi15/raw/marketstack/2026-10-09T11-49-33-071Z/benchmarks-v1.json</x:v>
      </x:c>
      <x:c r="K21" s="36" t="str"/>
      <x:c r="L21" s="37" t="n">
        <x:v>46304.492743877316</x:v>
      </x:c>
    </x:row>
    <x:row r="22" ht="50" customHeight="1">
      <x:c r="A22" s="8" t="n">
        <x:v>46296</x:v>
      </x:c>
      <x:c r="B22" s="2" t="str">
        <x:v>Nasdaq Composite</x:v>
      </x:c>
      <x:c r="C22" s="15" t="n">
        <x:v>26871.5957</x:v>
      </x:c>
      <x:c r="D22" s="15" t="n">
        <x:v>26871.5957</x:v>
      </x:c>
      <x:c r="E22" s="15" t="n">
        <x:v>0</x:v>
      </x:c>
      <x:c r="F22" s="32" t="n">
        <x:v>1</x:v>
      </x:c>
      <x:c r="G22" s="2" t="str">
        <x:v>INDX</x:v>
      </x:c>
      <x:c r="H22" s="2" t="str">
        <x:v>INDX</x:v>
      </x:c>
      <x:c r="I22" s="11" t="str">
        <x:f>IF(AND(G22=H22,C22&gt;0,ABS(C22-'Prices'!H22)&lt;=MAX(0.01,'Prices'!H22*0.000001)),"Match","Mismatch")</x:f>
        <x:v>Match</x:v>
      </x:c>
      <x:c r="J22" s="34" t="str">
        <x:v>data/bspi15/raw/marketstack/2026-10-09T11-49-33-071Z/benchmarks-v1.json</x:v>
      </x:c>
      <x:c r="K22" s="34" t="str"/>
      <x:c r="L22" s="35" t="n">
        <x:v>46304.492743877316</x:v>
      </x:c>
    </x:row>
    <x:row r="23" ht="50" customHeight="1">
      <x:c r="A23" s="9" t="n">
        <x:v>46297</x:v>
      </x:c>
      <x:c r="B23" s="10" t="str">
        <x:v>6954</x:v>
      </x:c>
      <x:c r="C23" s="29" t="n">
        <x:v>6075</x:v>
      </x:c>
      <x:c r="D23" s="29" t="n">
        <x:v>6075</x:v>
      </x:c>
      <x:c r="E23" s="29" t="n">
        <x:v>0</x:v>
      </x:c>
      <x:c r="F23" s="33" t="n">
        <x:v>1</x:v>
      </x:c>
      <x:c r="G23" s="10" t="str">
        <x:v>XJPX</x:v>
      </x:c>
      <x:c r="H23" s="10" t="str">
        <x:v>XJPX</x:v>
      </x:c>
      <x:c r="I23" s="12" t="str">
        <x:f>IF(AND(G23=H23,C23&gt;0,ABS(C23-'Prices'!H23)&lt;=MAX(0.01,'Prices'!H23*0.000001)),"Match","Mismatch")</x:f>
        <x:v>Match</x:v>
      </x:c>
      <x:c r="J23" s="36" t="str">
        <x:v>data/bspi15/raw/marketstack/2026-10-09T11-49-33-071Z/constituents-v2.json</x:v>
      </x:c>
      <x:c r="K23" s="36" t="str"/>
      <x:c r="L23" s="37" t="n">
        <x:v>46304.492743877316</x:v>
      </x:c>
    </x:row>
    <x:row r="24" ht="50" customHeight="1">
      <x:c r="A24" s="8" t="n">
        <x:v>46297</x:v>
      </x:c>
      <x:c r="B24" s="2" t="str">
        <x:v>6506</x:v>
      </x:c>
      <x:c r="C24" s="15" t="n">
        <x:v>4806</x:v>
      </x:c>
      <x:c r="D24" s="15" t="n">
        <x:v>4806</x:v>
      </x:c>
      <x:c r="E24" s="15" t="n">
        <x:v>0</x:v>
      </x:c>
      <x:c r="F24" s="32" t="n">
        <x:v>1</x:v>
      </x:c>
      <x:c r="G24" s="2" t="str">
        <x:v>XJPX</x:v>
      </x:c>
      <x:c r="H24" s="2" t="str">
        <x:v>XJPX</x:v>
      </x:c>
      <x:c r="I24" s="11" t="str">
        <x:f>IF(AND(G24=H24,C24&gt;0,ABS(C24-'Prices'!H24)&lt;=MAX(0.01,'Prices'!H24*0.000001)),"Match","Mismatch")</x:f>
        <x:v>Match</x:v>
      </x:c>
      <x:c r="J24" s="34" t="str">
        <x:v>data/bspi15/raw/marketstack/2026-10-09T11-49-33-071Z/constituents-v2.json</x:v>
      </x:c>
      <x:c r="K24" s="34" t="str"/>
      <x:c r="L24" s="35" t="n">
        <x:v>46304.492743877316</x:v>
      </x:c>
    </x:row>
    <x:row r="25" ht="50" customHeight="1">
      <x:c r="A25" s="9" t="n">
        <x:v>46297</x:v>
      </x:c>
      <x:c r="B25" s="14" t="str">
        <x:v>002747</x:v>
      </x:c>
      <x:c r="C25" s="29" t="n">
        <x:v>28.22</x:v>
      </x:c>
      <x:c r="D25" s="29" t="n">
        <x:v>28.22</x:v>
      </x:c>
      <x:c r="E25" s="29" t="n">
        <x:v>0</x:v>
      </x:c>
      <x:c r="F25" s="33" t="n">
        <x:v>1</x:v>
      </x:c>
      <x:c r="G25" s="10" t="str">
        <x:v>XSHE</x:v>
      </x:c>
      <x:c r="H25" s="10" t="str">
        <x:v>XSHE</x:v>
      </x:c>
      <x:c r="I25" s="12" t="str">
        <x:f>IF(AND(G25=H25,C25&gt;0,ABS(C25-'Prices'!H25)&lt;=MAX(0.01,'Prices'!H25*0.000001)),"Verified closure","Mismatch")</x:f>
        <x:v>Verified closure</x:v>
      </x:c>
      <x:c r="J25" s="36" t="str">
        <x:v>data/bspi15/raw/marketstack/2026-10-09T11-49-33-071Z/constituents-v2.json</x:v>
      </x:c>
      <x:c r="K25" s="36" t="str">
        <x:v>https://www.szse.cn/disclosure/notice/t20251222_618087.html</x:v>
      </x:c>
      <x:c r="L25" s="37" t="n">
        <x:v>46304.492743877316</x:v>
      </x:c>
    </x:row>
    <x:row r="26" ht="50" customHeight="1">
      <x:c r="A26" s="8" t="n">
        <x:v>46297</x:v>
      </x:c>
      <x:c r="B26" s="2" t="str">
        <x:v>TER</x:v>
      </x:c>
      <x:c r="C26" s="15" t="n">
        <x:v>449.04</x:v>
      </x:c>
      <x:c r="D26" s="15" t="n">
        <x:v>449.04</x:v>
      </x:c>
      <x:c r="E26" s="15" t="n">
        <x:v>0</x:v>
      </x:c>
      <x:c r="F26" s="32" t="n">
        <x:v>1</x:v>
      </x:c>
      <x:c r="G26" s="2" t="str">
        <x:v>XNAS</x:v>
      </x:c>
      <x:c r="H26" s="2" t="str">
        <x:v>XNAS</x:v>
      </x:c>
      <x:c r="I26" s="11" t="str">
        <x:f>IF(AND(G26=H26,C26&gt;0,ABS(C26-'Prices'!H26)&lt;=MAX(0.01,'Prices'!H26*0.000001)),"Match","Mismatch")</x:f>
        <x:v>Match</x:v>
      </x:c>
      <x:c r="J26" s="34" t="str">
        <x:v>data/bspi15/raw/marketstack/2026-10-09T11-49-33-071Z/constituents-v2.json</x:v>
      </x:c>
      <x:c r="K26" s="34" t="str"/>
      <x:c r="L26" s="35" t="n">
        <x:v>46304.492743877316</x:v>
      </x:c>
    </x:row>
    <x:row r="27" ht="50" customHeight="1">
      <x:c r="A27" s="9" t="n">
        <x:v>46297</x:v>
      </x:c>
      <x:c r="B27" s="10" t="str">
        <x:v>6268</x:v>
      </x:c>
      <x:c r="C27" s="29" t="n">
        <x:v>4926</x:v>
      </x:c>
      <x:c r="D27" s="29" t="n">
        <x:v>4926</x:v>
      </x:c>
      <x:c r="E27" s="29" t="n">
        <x:v>0</x:v>
      </x:c>
      <x:c r="F27" s="33" t="n">
        <x:v>1</x:v>
      </x:c>
      <x:c r="G27" s="10" t="str">
        <x:v>XJPX</x:v>
      </x:c>
      <x:c r="H27" s="10" t="str">
        <x:v>XJPX</x:v>
      </x:c>
      <x:c r="I27" s="12" t="str">
        <x:f>IF(AND(G27=H27,C27&gt;0,ABS(C27-'Prices'!H27)&lt;=MAX(0.01,'Prices'!H27*0.000001)),"Match","Mismatch")</x:f>
        <x:v>Match</x:v>
      </x:c>
      <x:c r="J27" s="36" t="str">
        <x:v>data/bspi15/raw/marketstack/2026-10-09T11-49-33-071Z/constituents-v2.json</x:v>
      </x:c>
      <x:c r="K27" s="36" t="str"/>
      <x:c r="L27" s="37" t="n">
        <x:v>46304.492743877316</x:v>
      </x:c>
    </x:row>
    <x:row r="28" ht="50" customHeight="1">
      <x:c r="A28" s="8" t="n">
        <x:v>46297</x:v>
      </x:c>
      <x:c r="B28" s="2" t="str">
        <x:v>300124</x:v>
      </x:c>
      <x:c r="C28" s="15" t="n">
        <x:v>51.9</x:v>
      </x:c>
      <x:c r="D28" s="15" t="n">
        <x:v>51.9</x:v>
      </x:c>
      <x:c r="E28" s="15" t="n">
        <x:v>0</x:v>
      </x:c>
      <x:c r="F28" s="32" t="n">
        <x:v>1</x:v>
      </x:c>
      <x:c r="G28" s="2" t="str">
        <x:v>XSHE</x:v>
      </x:c>
      <x:c r="H28" s="2" t="str">
        <x:v>XSHE</x:v>
      </x:c>
      <x:c r="I28" s="11" t="str">
        <x:f>IF(AND(G28=H28,C28&gt;0,ABS(C28-'Prices'!H28)&lt;=MAX(0.01,'Prices'!H28*0.000001)),"Verified closure","Mismatch")</x:f>
        <x:v>Verified closure</x:v>
      </x:c>
      <x:c r="J28" s="34" t="str">
        <x:v>data/bspi15/raw/marketstack/2026-10-09T11-49-33-071Z/constituents-v2.json</x:v>
      </x:c>
      <x:c r="K28" s="34" t="str">
        <x:v>https://www.szse.cn/disclosure/notice/t20251222_618087.html</x:v>
      </x:c>
      <x:c r="L28" s="35" t="n">
        <x:v>46304.492743877316</x:v>
      </x:c>
    </x:row>
    <x:row r="29" ht="50" customHeight="1">
      <x:c r="A29" s="9" t="n">
        <x:v>46297</x:v>
      </x:c>
      <x:c r="B29" s="10" t="str">
        <x:v>6861</x:v>
      </x:c>
      <x:c r="C29" s="29" t="n">
        <x:v>80270</x:v>
      </x:c>
      <x:c r="D29" s="29" t="n">
        <x:v>80270</x:v>
      </x:c>
      <x:c r="E29" s="29" t="n">
        <x:v>0</x:v>
      </x:c>
      <x:c r="F29" s="33" t="n">
        <x:v>1</x:v>
      </x:c>
      <x:c r="G29" s="10" t="str">
        <x:v>XJPX</x:v>
      </x:c>
      <x:c r="H29" s="10" t="str">
        <x:v>XJPX</x:v>
      </x:c>
      <x:c r="I29" s="12" t="str">
        <x:f>IF(AND(G29=H29,C29&gt;0,ABS(C29-'Prices'!H29)&lt;=MAX(0.01,'Prices'!H29*0.000001)),"Match","Mismatch")</x:f>
        <x:v>Match</x:v>
      </x:c>
      <x:c r="J29" s="36" t="str">
        <x:v>data/bspi15/raw/marketstack/2026-10-09T11-49-33-071Z/constituents-v2.json</x:v>
      </x:c>
      <x:c r="K29" s="36" t="str"/>
      <x:c r="L29" s="37" t="n">
        <x:v>46304.492743877316</x:v>
      </x:c>
    </x:row>
    <x:row r="30" ht="50" customHeight="1">
      <x:c r="A30" s="8" t="n">
        <x:v>46297</x:v>
      </x:c>
      <x:c r="B30" s="2" t="str">
        <x:v>CGNX</x:v>
      </x:c>
      <x:c r="C30" s="15" t="n">
        <x:v>64.97</x:v>
      </x:c>
      <x:c r="D30" s="15" t="n">
        <x:v>64.97</x:v>
      </x:c>
      <x:c r="E30" s="15" t="n">
        <x:v>0</x:v>
      </x:c>
      <x:c r="F30" s="32" t="n">
        <x:v>1</x:v>
      </x:c>
      <x:c r="G30" s="2" t="str">
        <x:v>XNAS</x:v>
      </x:c>
      <x:c r="H30" s="2" t="str">
        <x:v>XNAS</x:v>
      </x:c>
      <x:c r="I30" s="11" t="str">
        <x:f>IF(AND(G30=H30,C30&gt;0,ABS(C30-'Prices'!H30)&lt;=MAX(0.01,'Prices'!H30*0.000001)),"Match","Mismatch")</x:f>
        <x:v>Match</x:v>
      </x:c>
      <x:c r="J30" s="34" t="str">
        <x:v>data/bspi15/raw/marketstack/2026-10-09T11-49-33-071Z/constituents-v2.json</x:v>
      </x:c>
      <x:c r="K30" s="34" t="str"/>
      <x:c r="L30" s="35" t="n">
        <x:v>46304.492743877316</x:v>
      </x:c>
    </x:row>
    <x:row r="31" ht="50" customHeight="1">
      <x:c r="A31" s="9" t="n">
        <x:v>46297</x:v>
      </x:c>
      <x:c r="B31" s="10" t="str">
        <x:v>OUST</x:v>
      </x:c>
      <x:c r="C31" s="29" t="n">
        <x:v>44.39</x:v>
      </x:c>
      <x:c r="D31" s="29" t="n">
        <x:v>44.39</x:v>
      </x:c>
      <x:c r="E31" s="29" t="n">
        <x:v>0</x:v>
      </x:c>
      <x:c r="F31" s="33" t="n">
        <x:v>1</x:v>
      </x:c>
      <x:c r="G31" s="10" t="str">
        <x:v>XNYS</x:v>
      </x:c>
      <x:c r="H31" s="10" t="str">
        <x:v>XNYS</x:v>
      </x:c>
      <x:c r="I31" s="12" t="str">
        <x:f>IF(AND(G31=H31,C31&gt;0,ABS(C31-'Prices'!H31)&lt;=MAX(0.01,'Prices'!H31*0.000001)),"Match","Mismatch")</x:f>
        <x:v>Match</x:v>
      </x:c>
      <x:c r="J31" s="36" t="str">
        <x:v>data/bspi15/raw/marketstack/2026-10-09T11-49-33-071Z/constituents-v2.json</x:v>
      </x:c>
      <x:c r="K31" s="36" t="str"/>
      <x:c r="L31" s="37" t="n">
        <x:v>46304.492743877316</x:v>
      </x:c>
    </x:row>
    <x:row r="32" ht="50" customHeight="1">
      <x:c r="A32" s="8" t="n">
        <x:v>46297</x:v>
      </x:c>
      <x:c r="B32" s="2" t="str">
        <x:v>HSAI</x:v>
      </x:c>
      <x:c r="C32" s="15" t="n">
        <x:v>15.38</x:v>
      </x:c>
      <x:c r="D32" s="15" t="n">
        <x:v>15.38</x:v>
      </x:c>
      <x:c r="E32" s="15" t="n">
        <x:v>0</x:v>
      </x:c>
      <x:c r="F32" s="32" t="n">
        <x:v>1</x:v>
      </x:c>
      <x:c r="G32" s="2" t="str">
        <x:v>XNAS</x:v>
      </x:c>
      <x:c r="H32" s="2" t="str">
        <x:v>XNAS</x:v>
      </x:c>
      <x:c r="I32" s="11" t="str">
        <x:f>IF(AND(G32=H32,C32&gt;0,ABS(C32-'Prices'!H32)&lt;=MAX(0.01,'Prices'!H32*0.000001)),"Match","Mismatch")</x:f>
        <x:v>Match</x:v>
      </x:c>
      <x:c r="J32" s="34" t="str">
        <x:v>data/bspi15/raw/marketstack/2026-10-09T11-49-33-071Z/constituents-v2.json</x:v>
      </x:c>
      <x:c r="K32" s="34" t="str"/>
      <x:c r="L32" s="35" t="n">
        <x:v>46304.492743877316</x:v>
      </x:c>
    </x:row>
    <x:row r="33" ht="50" customHeight="1">
      <x:c r="A33" s="9" t="n">
        <x:v>46297</x:v>
      </x:c>
      <x:c r="B33" s="10" t="str">
        <x:v>ROK</x:v>
      </x:c>
      <x:c r="C33" s="29" t="n">
        <x:v>454.35</x:v>
      </x:c>
      <x:c r="D33" s="29" t="n">
        <x:v>454.35</x:v>
      </x:c>
      <x:c r="E33" s="29" t="n">
        <x:v>0</x:v>
      </x:c>
      <x:c r="F33" s="33" t="n">
        <x:v>1</x:v>
      </x:c>
      <x:c r="G33" s="10" t="str">
        <x:v>XNYS</x:v>
      </x:c>
      <x:c r="H33" s="10" t="str">
        <x:v>XNYS</x:v>
      </x:c>
      <x:c r="I33" s="12" t="str">
        <x:f>IF(AND(G33=H33,C33&gt;0,ABS(C33-'Prices'!H33)&lt;=MAX(0.01,'Prices'!H33*0.000001)),"Match","Mismatch")</x:f>
        <x:v>Match</x:v>
      </x:c>
      <x:c r="J33" s="36" t="str">
        <x:v>data/bspi15/raw/marketstack/2026-10-09T11-49-33-071Z/constituents-v2.json</x:v>
      </x:c>
      <x:c r="K33" s="36" t="str"/>
      <x:c r="L33" s="37" t="n">
        <x:v>46304.492743877316</x:v>
      </x:c>
    </x:row>
    <x:row r="34" ht="50" customHeight="1">
      <x:c r="A34" s="8" t="n">
        <x:v>46297</x:v>
      </x:c>
      <x:c r="B34" s="2" t="str">
        <x:v>SIE</x:v>
      </x:c>
      <x:c r="C34" s="15" t="n">
        <x:v>276.1</x:v>
      </x:c>
      <x:c r="D34" s="15" t="n">
        <x:v>276.1</x:v>
      </x:c>
      <x:c r="E34" s="15" t="n">
        <x:v>0</x:v>
      </x:c>
      <x:c r="F34" s="32" t="n">
        <x:v>1</x:v>
      </x:c>
      <x:c r="G34" s="2" t="str">
        <x:v>XETR</x:v>
      </x:c>
      <x:c r="H34" s="2" t="str">
        <x:v>XETR</x:v>
      </x:c>
      <x:c r="I34" s="11" t="str">
        <x:f>IF(AND(G34=H34,C34&gt;0,ABS(C34-'Prices'!H34)&lt;=MAX(0.01,'Prices'!H34*0.000001)),"Match","Mismatch")</x:f>
        <x:v>Match</x:v>
      </x:c>
      <x:c r="J34" s="34" t="str">
        <x:v>data/bspi15/raw/marketstack/2026-10-09T11-49-33-071Z/constituents-v2.json</x:v>
      </x:c>
      <x:c r="K34" s="34" t="str"/>
      <x:c r="L34" s="35" t="n">
        <x:v>46304.492743877316</x:v>
      </x:c>
    </x:row>
    <x:row r="35" ht="50" customHeight="1">
      <x:c r="A35" s="9" t="n">
        <x:v>46297</x:v>
      </x:c>
      <x:c r="B35" s="10" t="str">
        <x:v>NXPI</x:v>
      </x:c>
      <x:c r="C35" s="29" t="n">
        <x:v>243.66</x:v>
      </x:c>
      <x:c r="D35" s="29" t="n">
        <x:v>243.66</x:v>
      </x:c>
      <x:c r="E35" s="29" t="n">
        <x:v>0</x:v>
      </x:c>
      <x:c r="F35" s="33" t="n">
        <x:v>1</x:v>
      </x:c>
      <x:c r="G35" s="10" t="str">
        <x:v>XNAS</x:v>
      </x:c>
      <x:c r="H35" s="10" t="str">
        <x:v>XNAS</x:v>
      </x:c>
      <x:c r="I35" s="12" t="str">
        <x:f>IF(AND(G35=H35,C35&gt;0,ABS(C35-'Prices'!H35)&lt;=MAX(0.01,'Prices'!H35*0.000001)),"Match","Mismatch")</x:f>
        <x:v>Match</x:v>
      </x:c>
      <x:c r="J35" s="36" t="str">
        <x:v>data/bspi15/raw/marketstack/2026-10-09T11-49-33-071Z/constituents-v2.json</x:v>
      </x:c>
      <x:c r="K35" s="36" t="str"/>
      <x:c r="L35" s="37" t="n">
        <x:v>46304.492743877316</x:v>
      </x:c>
    </x:row>
    <x:row r="36" ht="50" customHeight="1">
      <x:c r="A36" s="8" t="n">
        <x:v>46297</x:v>
      </x:c>
      <x:c r="B36" s="2" t="str">
        <x:v>6383</x:v>
      </x:c>
      <x:c r="C36" s="15" t="n">
        <x:v>5851</x:v>
      </x:c>
      <x:c r="D36" s="15" t="n">
        <x:v>5851</x:v>
      </x:c>
      <x:c r="E36" s="15" t="n">
        <x:v>0</x:v>
      </x:c>
      <x:c r="F36" s="32" t="n">
        <x:v>1</x:v>
      </x:c>
      <x:c r="G36" s="2" t="str">
        <x:v>XJPX</x:v>
      </x:c>
      <x:c r="H36" s="2" t="str">
        <x:v>XJPX</x:v>
      </x:c>
      <x:c r="I36" s="11" t="str">
        <x:f>IF(AND(G36=H36,C36&gt;0,ABS(C36-'Prices'!H36)&lt;=MAX(0.01,'Prices'!H36*0.000001)),"Match","Mismatch")</x:f>
        <x:v>Match</x:v>
      </x:c>
      <x:c r="J36" s="34" t="str">
        <x:v>data/bspi15/raw/marketstack/2026-10-09T11-49-33-071Z/constituents-v2.json</x:v>
      </x:c>
      <x:c r="K36" s="34" t="str"/>
      <x:c r="L36" s="35" t="n">
        <x:v>46304.492743877316</x:v>
      </x:c>
    </x:row>
    <x:row r="37" ht="50" customHeight="1">
      <x:c r="A37" s="9" t="n">
        <x:v>46297</x:v>
      </x:c>
      <x:c r="B37" s="10" t="str">
        <x:v>HEXA B</x:v>
      </x:c>
      <x:c r="C37" s="29" t="n">
        <x:v>101.15</x:v>
      </x:c>
      <x:c r="D37" s="29" t="n">
        <x:v>101.15</x:v>
      </x:c>
      <x:c r="E37" s="29" t="n">
        <x:v>0</x:v>
      </x:c>
      <x:c r="F37" s="33" t="n">
        <x:v>1</x:v>
      </x:c>
      <x:c r="G37" s="10" t="str">
        <x:v>XSTO</x:v>
      </x:c>
      <x:c r="H37" s="10" t="str">
        <x:v>XSTO</x:v>
      </x:c>
      <x:c r="I37" s="12" t="str">
        <x:f>IF(AND(G37=H37,C37&gt;0,ABS(C37-'Prices'!H37)&lt;=MAX(0.01,'Prices'!H37*0.000001)),"Match","Mismatch")</x:f>
        <x:v>Match</x:v>
      </x:c>
      <x:c r="J37" s="36" t="str">
        <x:v>data/bspi15/raw/marketstack/2026-10-09T11-49-33-071Z/constituents-v2.json</x:v>
      </x:c>
      <x:c r="K37" s="36" t="str"/>
      <x:c r="L37" s="37" t="n">
        <x:v>46304.492743877316</x:v>
      </x:c>
    </x:row>
    <x:row r="38" ht="50" customHeight="1">
      <x:c r="A38" s="8" t="n">
        <x:v>46297</x:v>
      </x:c>
      <x:c r="B38" s="2" t="str">
        <x:v>S&amp;P 500</x:v>
      </x:c>
      <x:c r="C38" s="15" t="n">
        <x:v>7722.72</x:v>
      </x:c>
      <x:c r="D38" s="15" t="n">
        <x:v>7722.72</x:v>
      </x:c>
      <x:c r="E38" s="15" t="n">
        <x:v>0</x:v>
      </x:c>
      <x:c r="F38" s="32" t="n">
        <x:v>1</x:v>
      </x:c>
      <x:c r="G38" s="2" t="str">
        <x:v>INDX</x:v>
      </x:c>
      <x:c r="H38" s="2" t="str">
        <x:v>INDX</x:v>
      </x:c>
      <x:c r="I38" s="11" t="str">
        <x:f>IF(AND(G38=H38,C38&gt;0,ABS(C38-'Prices'!H38)&lt;=MAX(0.01,'Prices'!H38*0.000001)),"Match","Mismatch")</x:f>
        <x:v>Match</x:v>
      </x:c>
      <x:c r="J38" s="34" t="str">
        <x:v>data/bspi15/raw/marketstack/2026-10-09T11-49-33-071Z/benchmarks-v1.json</x:v>
      </x:c>
      <x:c r="K38" s="34" t="str"/>
      <x:c r="L38" s="35" t="n">
        <x:v>46304.492743877316</x:v>
      </x:c>
    </x:row>
    <x:row r="39" ht="50" customHeight="1">
      <x:c r="A39" s="9" t="n">
        <x:v>46297</x:v>
      </x:c>
      <x:c r="B39" s="10" t="str">
        <x:v>Nasdaq Composite</x:v>
      </x:c>
      <x:c r="C39" s="29" t="n">
        <x:v>27190.8594</x:v>
      </x:c>
      <x:c r="D39" s="29" t="n">
        <x:v>27190.8594</x:v>
      </x:c>
      <x:c r="E39" s="29" t="n">
        <x:v>0</x:v>
      </x:c>
      <x:c r="F39" s="33" t="n">
        <x:v>1</x:v>
      </x:c>
      <x:c r="G39" s="10" t="str">
        <x:v>INDX</x:v>
      </x:c>
      <x:c r="H39" s="10" t="str">
        <x:v>INDX</x:v>
      </x:c>
      <x:c r="I39" s="12" t="str">
        <x:f>IF(AND(G39=H39,C39&gt;0,ABS(C39-'Prices'!H39)&lt;=MAX(0.01,'Prices'!H39*0.000001)),"Match","Mismatch")</x:f>
        <x:v>Match</x:v>
      </x:c>
      <x:c r="J39" s="36" t="str">
        <x:v>data/bspi15/raw/marketstack/2026-10-09T11-49-33-071Z/benchmarks-v1.json</x:v>
      </x:c>
      <x:c r="K39" s="36" t="str"/>
      <x:c r="L39" s="37" t="n">
        <x:v>46304.492743877316</x:v>
      </x:c>
    </x:row>
    <x:row r="40" ht="50" customHeight="1">
      <x:c r="A40" s="8" t="n">
        <x:v>46300</x:v>
      </x:c>
      <x:c r="B40" s="2" t="str">
        <x:v>6954</x:v>
      </x:c>
      <x:c r="C40" s="15" t="n">
        <x:v>6186</x:v>
      </x:c>
      <x:c r="D40" s="15" t="n">
        <x:v>6186</x:v>
      </x:c>
      <x:c r="E40" s="15" t="n">
        <x:v>0</x:v>
      </x:c>
      <x:c r="F40" s="32" t="n">
        <x:v>1</x:v>
      </x:c>
      <x:c r="G40" s="2" t="str">
        <x:v>XJPX</x:v>
      </x:c>
      <x:c r="H40" s="2" t="str">
        <x:v>XJPX</x:v>
      </x:c>
      <x:c r="I40" s="11" t="str">
        <x:f>IF(AND(G40=H40,C40&gt;0,ABS(C40-'Prices'!H40)&lt;=MAX(0.01,'Prices'!H40*0.000001)),"Match","Mismatch")</x:f>
        <x:v>Match</x:v>
      </x:c>
      <x:c r="J40" s="34" t="str">
        <x:v>data/bspi15/raw/marketstack/2026-10-09T11-49-33-071Z/constituents-v2.json</x:v>
      </x:c>
      <x:c r="K40" s="34" t="str"/>
      <x:c r="L40" s="35" t="n">
        <x:v>46304.492743877316</x:v>
      </x:c>
    </x:row>
    <x:row r="41" ht="50" customHeight="1">
      <x:c r="A41" s="9" t="n">
        <x:v>46300</x:v>
      </x:c>
      <x:c r="B41" s="10" t="str">
        <x:v>6506</x:v>
      </x:c>
      <x:c r="C41" s="29" t="n">
        <x:v>4931</x:v>
      </x:c>
      <x:c r="D41" s="29" t="n">
        <x:v>4931</x:v>
      </x:c>
      <x:c r="E41" s="29" t="n">
        <x:v>0</x:v>
      </x:c>
      <x:c r="F41" s="33" t="n">
        <x:v>1</x:v>
      </x:c>
      <x:c r="G41" s="10" t="str">
        <x:v>XJPX</x:v>
      </x:c>
      <x:c r="H41" s="10" t="str">
        <x:v>XJPX</x:v>
      </x:c>
      <x:c r="I41" s="12" t="str">
        <x:f>IF(AND(G41=H41,C41&gt;0,ABS(C41-'Prices'!H41)&lt;=MAX(0.01,'Prices'!H41*0.000001)),"Match","Mismatch")</x:f>
        <x:v>Match</x:v>
      </x:c>
      <x:c r="J41" s="36" t="str">
        <x:v>data/bspi15/raw/marketstack/2026-10-09T11-49-33-071Z/constituents-v2.json</x:v>
      </x:c>
      <x:c r="K41" s="36" t="str"/>
      <x:c r="L41" s="37" t="n">
        <x:v>46304.492743877316</x:v>
      </x:c>
    </x:row>
    <x:row r="42" ht="50" customHeight="1">
      <x:c r="A42" s="8" t="n">
        <x:v>46300</x:v>
      </x:c>
      <x:c r="B42" s="13" t="str">
        <x:v>002747</x:v>
      </x:c>
      <x:c r="C42" s="15" t="n">
        <x:v>28.22</x:v>
      </x:c>
      <x:c r="D42" s="15" t="n">
        <x:v>28.22</x:v>
      </x:c>
      <x:c r="E42" s="15" t="n">
        <x:v>0</x:v>
      </x:c>
      <x:c r="F42" s="32" t="n">
        <x:v>1</x:v>
      </x:c>
      <x:c r="G42" s="2" t="str">
        <x:v>XSHE</x:v>
      </x:c>
      <x:c r="H42" s="2" t="str">
        <x:v>XSHE</x:v>
      </x:c>
      <x:c r="I42" s="11" t="str">
        <x:f>IF(AND(G42=H42,C42&gt;0,ABS(C42-'Prices'!H42)&lt;=MAX(0.01,'Prices'!H42*0.000001)),"Verified closure","Mismatch")</x:f>
        <x:v>Verified closure</x:v>
      </x:c>
      <x:c r="J42" s="34" t="str">
        <x:v>data/bspi15/raw/marketstack/2026-10-09T11-49-33-071Z/constituents-v2.json</x:v>
      </x:c>
      <x:c r="K42" s="34" t="str">
        <x:v>https://www.szse.cn/disclosure/notice/t20251222_618087.html</x:v>
      </x:c>
      <x:c r="L42" s="35" t="n">
        <x:v>46304.492743877316</x:v>
      </x:c>
    </x:row>
    <x:row r="43" ht="50" customHeight="1">
      <x:c r="A43" s="9" t="n">
        <x:v>46300</x:v>
      </x:c>
      <x:c r="B43" s="10" t="str">
        <x:v>TER</x:v>
      </x:c>
      <x:c r="C43" s="29" t="n">
        <x:v>444.53</x:v>
      </x:c>
      <x:c r="D43" s="29" t="n">
        <x:v>444.53</x:v>
      </x:c>
      <x:c r="E43" s="29" t="n">
        <x:v>0</x:v>
      </x:c>
      <x:c r="F43" s="33" t="n">
        <x:v>1</x:v>
      </x:c>
      <x:c r="G43" s="10" t="str">
        <x:v>XNAS</x:v>
      </x:c>
      <x:c r="H43" s="10" t="str">
        <x:v>XNAS</x:v>
      </x:c>
      <x:c r="I43" s="12" t="str">
        <x:f>IF(AND(G43=H43,C43&gt;0,ABS(C43-'Prices'!H43)&lt;=MAX(0.01,'Prices'!H43*0.000001)),"Match","Mismatch")</x:f>
        <x:v>Match</x:v>
      </x:c>
      <x:c r="J43" s="36" t="str">
        <x:v>data/bspi15/raw/marketstack/2026-10-09T11-49-33-071Z/constituents-v2.json</x:v>
      </x:c>
      <x:c r="K43" s="36" t="str"/>
      <x:c r="L43" s="37" t="n">
        <x:v>46304.492743877316</x:v>
      </x:c>
    </x:row>
    <x:row r="44" ht="50" customHeight="1">
      <x:c r="A44" s="8" t="n">
        <x:v>46300</x:v>
      </x:c>
      <x:c r="B44" s="2" t="str">
        <x:v>6268</x:v>
      </x:c>
      <x:c r="C44" s="15" t="n">
        <x:v>4979</x:v>
      </x:c>
      <x:c r="D44" s="15" t="n">
        <x:v>4979</x:v>
      </x:c>
      <x:c r="E44" s="15" t="n">
        <x:v>0</x:v>
      </x:c>
      <x:c r="F44" s="32" t="n">
        <x:v>1</x:v>
      </x:c>
      <x:c r="G44" s="2" t="str">
        <x:v>XJPX</x:v>
      </x:c>
      <x:c r="H44" s="2" t="str">
        <x:v>XJPX</x:v>
      </x:c>
      <x:c r="I44" s="11" t="str">
        <x:f>IF(AND(G44=H44,C44&gt;0,ABS(C44-'Prices'!H44)&lt;=MAX(0.01,'Prices'!H44*0.000001)),"Match","Mismatch")</x:f>
        <x:v>Match</x:v>
      </x:c>
      <x:c r="J44" s="34" t="str">
        <x:v>data/bspi15/raw/marketstack/2026-10-09T11-49-33-071Z/constituents-v2.json</x:v>
      </x:c>
      <x:c r="K44" s="34" t="str"/>
      <x:c r="L44" s="35" t="n">
        <x:v>46304.492743877316</x:v>
      </x:c>
    </x:row>
    <x:row r="45" ht="50" customHeight="1">
      <x:c r="A45" s="9" t="n">
        <x:v>46300</x:v>
      </x:c>
      <x:c r="B45" s="10" t="str">
        <x:v>300124</x:v>
      </x:c>
      <x:c r="C45" s="29" t="n">
        <x:v>51.9</x:v>
      </x:c>
      <x:c r="D45" s="29" t="n">
        <x:v>51.9</x:v>
      </x:c>
      <x:c r="E45" s="29" t="n">
        <x:v>0</x:v>
      </x:c>
      <x:c r="F45" s="33" t="n">
        <x:v>1</x:v>
      </x:c>
      <x:c r="G45" s="10" t="str">
        <x:v>XSHE</x:v>
      </x:c>
      <x:c r="H45" s="10" t="str">
        <x:v>XSHE</x:v>
      </x:c>
      <x:c r="I45" s="12" t="str">
        <x:f>IF(AND(G45=H45,C45&gt;0,ABS(C45-'Prices'!H45)&lt;=MAX(0.01,'Prices'!H45*0.000001)),"Verified closure","Mismatch")</x:f>
        <x:v>Verified closure</x:v>
      </x:c>
      <x:c r="J45" s="36" t="str">
        <x:v>data/bspi15/raw/marketstack/2026-10-09T11-49-33-071Z/constituents-v2.json</x:v>
      </x:c>
      <x:c r="K45" s="36" t="str">
        <x:v>https://www.szse.cn/disclosure/notice/t20251222_618087.html</x:v>
      </x:c>
      <x:c r="L45" s="37" t="n">
        <x:v>46304.492743877316</x:v>
      </x:c>
    </x:row>
    <x:row r="46" ht="50" customHeight="1">
      <x:c r="A46" s="8" t="n">
        <x:v>46300</x:v>
      </x:c>
      <x:c r="B46" s="2" t="str">
        <x:v>6861</x:v>
      </x:c>
      <x:c r="C46" s="15" t="n">
        <x:v>81680</x:v>
      </x:c>
      <x:c r="D46" s="15" t="n">
        <x:v>81680</x:v>
      </x:c>
      <x:c r="E46" s="15" t="n">
        <x:v>0</x:v>
      </x:c>
      <x:c r="F46" s="32" t="n">
        <x:v>1</x:v>
      </x:c>
      <x:c r="G46" s="2" t="str">
        <x:v>XJPX</x:v>
      </x:c>
      <x:c r="H46" s="2" t="str">
        <x:v>XJPX</x:v>
      </x:c>
      <x:c r="I46" s="11" t="str">
        <x:f>IF(AND(G46=H46,C46&gt;0,ABS(C46-'Prices'!H46)&lt;=MAX(0.01,'Prices'!H46*0.000001)),"Match","Mismatch")</x:f>
        <x:v>Match</x:v>
      </x:c>
      <x:c r="J46" s="34" t="str">
        <x:v>data/bspi15/raw/marketstack/2026-10-09T11-49-33-071Z/constituents-v2.json</x:v>
      </x:c>
      <x:c r="K46" s="34" t="str"/>
      <x:c r="L46" s="35" t="n">
        <x:v>46304.492743877316</x:v>
      </x:c>
    </x:row>
    <x:row r="47" ht="50" customHeight="1">
      <x:c r="A47" s="9" t="n">
        <x:v>46300</x:v>
      </x:c>
      <x:c r="B47" s="10" t="str">
        <x:v>CGNX</x:v>
      </x:c>
      <x:c r="C47" s="29" t="n">
        <x:v>64.37</x:v>
      </x:c>
      <x:c r="D47" s="29" t="n">
        <x:v>64.37</x:v>
      </x:c>
      <x:c r="E47" s="29" t="n">
        <x:v>0</x:v>
      </x:c>
      <x:c r="F47" s="33" t="n">
        <x:v>1</x:v>
      </x:c>
      <x:c r="G47" s="10" t="str">
        <x:v>XNAS</x:v>
      </x:c>
      <x:c r="H47" s="10" t="str">
        <x:v>XNAS</x:v>
      </x:c>
      <x:c r="I47" s="12" t="str">
        <x:f>IF(AND(G47=H47,C47&gt;0,ABS(C47-'Prices'!H47)&lt;=MAX(0.01,'Prices'!H47*0.000001)),"Match","Mismatch")</x:f>
        <x:v>Match</x:v>
      </x:c>
      <x:c r="J47" s="36" t="str">
        <x:v>data/bspi15/raw/marketstack/2026-10-09T11-49-33-071Z/constituents-v2.json</x:v>
      </x:c>
      <x:c r="K47" s="36" t="str"/>
      <x:c r="L47" s="37" t="n">
        <x:v>46304.492743877316</x:v>
      </x:c>
    </x:row>
    <x:row r="48" ht="50" customHeight="1">
      <x:c r="A48" s="8" t="n">
        <x:v>46300</x:v>
      </x:c>
      <x:c r="B48" s="2" t="str">
        <x:v>OUST</x:v>
      </x:c>
      <x:c r="C48" s="15" t="n">
        <x:v>44.12</x:v>
      </x:c>
      <x:c r="D48" s="15" t="n">
        <x:v>44.12</x:v>
      </x:c>
      <x:c r="E48" s="15" t="n">
        <x:v>0</x:v>
      </x:c>
      <x:c r="F48" s="32" t="n">
        <x:v>1</x:v>
      </x:c>
      <x:c r="G48" s="2" t="str">
        <x:v>XNYS</x:v>
      </x:c>
      <x:c r="H48" s="2" t="str">
        <x:v>XNYS</x:v>
      </x:c>
      <x:c r="I48" s="11" t="str">
        <x:f>IF(AND(G48=H48,C48&gt;0,ABS(C48-'Prices'!H48)&lt;=MAX(0.01,'Prices'!H48*0.000001)),"Match","Mismatch")</x:f>
        <x:v>Match</x:v>
      </x:c>
      <x:c r="J48" s="34" t="str">
        <x:v>data/bspi15/raw/marketstack/2026-10-09T11-49-33-071Z/constituents-v2.json</x:v>
      </x:c>
      <x:c r="K48" s="34" t="str"/>
      <x:c r="L48" s="35" t="n">
        <x:v>46304.492743877316</x:v>
      </x:c>
    </x:row>
    <x:row r="49" ht="50" customHeight="1">
      <x:c r="A49" s="9" t="n">
        <x:v>46300</x:v>
      </x:c>
      <x:c r="B49" s="10" t="str">
        <x:v>HSAI</x:v>
      </x:c>
      <x:c r="C49" s="29" t="n">
        <x:v>15.91</x:v>
      </x:c>
      <x:c r="D49" s="29" t="n">
        <x:v>15.91</x:v>
      </x:c>
      <x:c r="E49" s="29" t="n">
        <x:v>0</x:v>
      </x:c>
      <x:c r="F49" s="33" t="n">
        <x:v>1</x:v>
      </x:c>
      <x:c r="G49" s="10" t="str">
        <x:v>XNAS</x:v>
      </x:c>
      <x:c r="H49" s="10" t="str">
        <x:v>XNAS</x:v>
      </x:c>
      <x:c r="I49" s="12" t="str">
        <x:f>IF(AND(G49=H49,C49&gt;0,ABS(C49-'Prices'!H49)&lt;=MAX(0.01,'Prices'!H49*0.000001)),"Match","Mismatch")</x:f>
        <x:v>Match</x:v>
      </x:c>
      <x:c r="J49" s="36" t="str">
        <x:v>data/bspi15/raw/marketstack/2026-10-09T11-49-33-071Z/constituents-v2.json</x:v>
      </x:c>
      <x:c r="K49" s="36" t="str"/>
      <x:c r="L49" s="37" t="n">
        <x:v>46304.492743877316</x:v>
      </x:c>
    </x:row>
    <x:row r="50" ht="50" customHeight="1">
      <x:c r="A50" s="8" t="n">
        <x:v>46300</x:v>
      </x:c>
      <x:c r="B50" s="2" t="str">
        <x:v>ROK</x:v>
      </x:c>
      <x:c r="C50" s="15" t="n">
        <x:v>455.18</x:v>
      </x:c>
      <x:c r="D50" s="15" t="n">
        <x:v>455.18</x:v>
      </x:c>
      <x:c r="E50" s="15" t="n">
        <x:v>0</x:v>
      </x:c>
      <x:c r="F50" s="32" t="n">
        <x:v>1</x:v>
      </x:c>
      <x:c r="G50" s="2" t="str">
        <x:v>XNYS</x:v>
      </x:c>
      <x:c r="H50" s="2" t="str">
        <x:v>XNYS</x:v>
      </x:c>
      <x:c r="I50" s="11" t="str">
        <x:f>IF(AND(G50=H50,C50&gt;0,ABS(C50-'Prices'!H50)&lt;=MAX(0.01,'Prices'!H50*0.000001)),"Match","Mismatch")</x:f>
        <x:v>Match</x:v>
      </x:c>
      <x:c r="J50" s="34" t="str">
        <x:v>data/bspi15/raw/marketstack/2026-10-09T11-49-33-071Z/constituents-v2.json</x:v>
      </x:c>
      <x:c r="K50" s="34" t="str"/>
      <x:c r="L50" s="35" t="n">
        <x:v>46304.492743877316</x:v>
      </x:c>
    </x:row>
    <x:row r="51" ht="50" customHeight="1">
      <x:c r="A51" s="9" t="n">
        <x:v>46300</x:v>
      </x:c>
      <x:c r="B51" s="10" t="str">
        <x:v>SIE</x:v>
      </x:c>
      <x:c r="C51" s="29" t="n">
        <x:v>275</x:v>
      </x:c>
      <x:c r="D51" s="29" t="n">
        <x:v>275</x:v>
      </x:c>
      <x:c r="E51" s="29" t="n">
        <x:v>0</x:v>
      </x:c>
      <x:c r="F51" s="33" t="n">
        <x:v>1</x:v>
      </x:c>
      <x:c r="G51" s="10" t="str">
        <x:v>XETR</x:v>
      </x:c>
      <x:c r="H51" s="10" t="str">
        <x:v>XETR</x:v>
      </x:c>
      <x:c r="I51" s="12" t="str">
        <x:f>IF(AND(G51=H51,C51&gt;0,ABS(C51-'Prices'!H51)&lt;=MAX(0.01,'Prices'!H51*0.000001)),"Match","Mismatch")</x:f>
        <x:v>Match</x:v>
      </x:c>
      <x:c r="J51" s="36" t="str">
        <x:v>data/bspi15/raw/marketstack/2026-10-09T11-49-33-071Z/constituents-v2.json</x:v>
      </x:c>
      <x:c r="K51" s="36" t="str"/>
      <x:c r="L51" s="37" t="n">
        <x:v>46304.492743877316</x:v>
      </x:c>
    </x:row>
    <x:row r="52" ht="50" customHeight="1">
      <x:c r="A52" s="8" t="n">
        <x:v>46300</x:v>
      </x:c>
      <x:c r="B52" s="2" t="str">
        <x:v>NXPI</x:v>
      </x:c>
      <x:c r="C52" s="15" t="n">
        <x:v>241.97</x:v>
      </x:c>
      <x:c r="D52" s="15" t="n">
        <x:v>241.97</x:v>
      </x:c>
      <x:c r="E52" s="15" t="n">
        <x:v>0</x:v>
      </x:c>
      <x:c r="F52" s="32" t="n">
        <x:v>1</x:v>
      </x:c>
      <x:c r="G52" s="2" t="str">
        <x:v>XNAS</x:v>
      </x:c>
      <x:c r="H52" s="2" t="str">
        <x:v>XNAS</x:v>
      </x:c>
      <x:c r="I52" s="11" t="str">
        <x:f>IF(AND(G52=H52,C52&gt;0,ABS(C52-'Prices'!H52)&lt;=MAX(0.01,'Prices'!H52*0.000001)),"Match","Mismatch")</x:f>
        <x:v>Match</x:v>
      </x:c>
      <x:c r="J52" s="34" t="str">
        <x:v>data/bspi15/raw/marketstack/2026-10-09T11-49-33-071Z/constituents-v2.json</x:v>
      </x:c>
      <x:c r="K52" s="34" t="str"/>
      <x:c r="L52" s="35" t="n">
        <x:v>46304.492743877316</x:v>
      </x:c>
    </x:row>
    <x:row r="53" ht="50" customHeight="1">
      <x:c r="A53" s="9" t="n">
        <x:v>46300</x:v>
      </x:c>
      <x:c r="B53" s="10" t="str">
        <x:v>6383</x:v>
      </x:c>
      <x:c r="C53" s="29" t="n">
        <x:v>5874</x:v>
      </x:c>
      <x:c r="D53" s="29" t="n">
        <x:v>5874</x:v>
      </x:c>
      <x:c r="E53" s="29" t="n">
        <x:v>0</x:v>
      </x:c>
      <x:c r="F53" s="33" t="n">
        <x:v>1</x:v>
      </x:c>
      <x:c r="G53" s="10" t="str">
        <x:v>XJPX</x:v>
      </x:c>
      <x:c r="H53" s="10" t="str">
        <x:v>XJPX</x:v>
      </x:c>
      <x:c r="I53" s="12" t="str">
        <x:f>IF(AND(G53=H53,C53&gt;0,ABS(C53-'Prices'!H53)&lt;=MAX(0.01,'Prices'!H53*0.000001)),"Match","Mismatch")</x:f>
        <x:v>Match</x:v>
      </x:c>
      <x:c r="J53" s="36" t="str">
        <x:v>data/bspi15/raw/marketstack/2026-10-09T11-49-33-071Z/constituents-v2.json</x:v>
      </x:c>
      <x:c r="K53" s="36" t="str"/>
      <x:c r="L53" s="37" t="n">
        <x:v>46304.492743877316</x:v>
      </x:c>
    </x:row>
    <x:row r="54" ht="50" customHeight="1">
      <x:c r="A54" s="8" t="n">
        <x:v>46300</x:v>
      </x:c>
      <x:c r="B54" s="2" t="str">
        <x:v>HEXA B</x:v>
      </x:c>
      <x:c r="C54" s="15" t="n">
        <x:v>102.15</x:v>
      </x:c>
      <x:c r="D54" s="15" t="n">
        <x:v>102.15</x:v>
      </x:c>
      <x:c r="E54" s="15" t="n">
        <x:v>0</x:v>
      </x:c>
      <x:c r="F54" s="32" t="n">
        <x:v>1</x:v>
      </x:c>
      <x:c r="G54" s="2" t="str">
        <x:v>XSTO</x:v>
      </x:c>
      <x:c r="H54" s="2" t="str">
        <x:v>XSTO</x:v>
      </x:c>
      <x:c r="I54" s="11" t="str">
        <x:f>IF(AND(G54=H54,C54&gt;0,ABS(C54-'Prices'!H54)&lt;=MAX(0.01,'Prices'!H54*0.000001)),"Match","Mismatch")</x:f>
        <x:v>Match</x:v>
      </x:c>
      <x:c r="J54" s="34" t="str">
        <x:v>data/bspi15/raw/marketstack/2026-10-09T11-49-33-071Z/constituents-v2.json</x:v>
      </x:c>
      <x:c r="K54" s="34" t="str"/>
      <x:c r="L54" s="35" t="n">
        <x:v>46304.492743877316</x:v>
      </x:c>
    </x:row>
    <x:row r="55" ht="50" customHeight="1">
      <x:c r="A55" s="9" t="n">
        <x:v>46300</x:v>
      </x:c>
      <x:c r="B55" s="10" t="str">
        <x:v>S&amp;P 500</x:v>
      </x:c>
      <x:c r="C55" s="29" t="n">
        <x:v>7773.95</x:v>
      </x:c>
      <x:c r="D55" s="29" t="n">
        <x:v>7773.95</x:v>
      </x:c>
      <x:c r="E55" s="29" t="n">
        <x:v>0</x:v>
      </x:c>
      <x:c r="F55" s="33" t="n">
        <x:v>1</x:v>
      </x:c>
      <x:c r="G55" s="10" t="str">
        <x:v>INDX</x:v>
      </x:c>
      <x:c r="H55" s="10" t="str">
        <x:v>INDX</x:v>
      </x:c>
      <x:c r="I55" s="12" t="str">
        <x:f>IF(AND(G55=H55,C55&gt;0,ABS(C55-'Prices'!H55)&lt;=MAX(0.01,'Prices'!H55*0.000001)),"Match","Mismatch")</x:f>
        <x:v>Match</x:v>
      </x:c>
      <x:c r="J55" s="36" t="str">
        <x:v>data/bspi15/raw/marketstack/2026-10-09T11-49-33-071Z/benchmarks-v1.json</x:v>
      </x:c>
      <x:c r="K55" s="36" t="str"/>
      <x:c r="L55" s="37" t="n">
        <x:v>46304.492743877316</x:v>
      </x:c>
    </x:row>
    <x:row r="56" ht="50" customHeight="1">
      <x:c r="A56" s="8" t="n">
        <x:v>46300</x:v>
      </x:c>
      <x:c r="B56" s="2" t="str">
        <x:v>Nasdaq Composite</x:v>
      </x:c>
      <x:c r="C56" s="15" t="n">
        <x:v>27477.3105</x:v>
      </x:c>
      <x:c r="D56" s="15" t="n">
        <x:v>27477.3105</x:v>
      </x:c>
      <x:c r="E56" s="15" t="n">
        <x:v>0</x:v>
      </x:c>
      <x:c r="F56" s="32" t="n">
        <x:v>1</x:v>
      </x:c>
      <x:c r="G56" s="2" t="str">
        <x:v>INDX</x:v>
      </x:c>
      <x:c r="H56" s="2" t="str">
        <x:v>INDX</x:v>
      </x:c>
      <x:c r="I56" s="11" t="str">
        <x:f>IF(AND(G56=H56,C56&gt;0,ABS(C56-'Prices'!H56)&lt;=MAX(0.01,'Prices'!H56*0.000001)),"Match","Mismatch")</x:f>
        <x:v>Match</x:v>
      </x:c>
      <x:c r="J56" s="34" t="str">
        <x:v>data/bspi15/raw/marketstack/2026-10-09T11-49-33-071Z/benchmarks-v1.json</x:v>
      </x:c>
      <x:c r="K56" s="34" t="str"/>
      <x:c r="L56" s="35" t="n">
        <x:v>46304.492743877316</x:v>
      </x:c>
    </x:row>
    <x:row r="57" ht="50" customHeight="1">
      <x:c r="A57" s="9" t="n">
        <x:v>46301</x:v>
      </x:c>
      <x:c r="B57" s="10" t="str">
        <x:v>6954</x:v>
      </x:c>
      <x:c r="C57" s="29" t="n">
        <x:v>6220</x:v>
      </x:c>
      <x:c r="D57" s="29" t="n">
        <x:v>6220</x:v>
      </x:c>
      <x:c r="E57" s="29" t="n">
        <x:v>0</x:v>
      </x:c>
      <x:c r="F57" s="33" t="n">
        <x:v>1</x:v>
      </x:c>
      <x:c r="G57" s="10" t="str">
        <x:v>XJPX</x:v>
      </x:c>
      <x:c r="H57" s="10" t="str">
        <x:v>XJPX</x:v>
      </x:c>
      <x:c r="I57" s="12" t="str">
        <x:f>IF(AND(G57=H57,C57&gt;0,ABS(C57-'Prices'!H57)&lt;=MAX(0.01,'Prices'!H57*0.000001)),"Match","Mismatch")</x:f>
        <x:v>Match</x:v>
      </x:c>
      <x:c r="J57" s="36" t="str">
        <x:v>data/bspi15/raw/marketstack/2026-10-09T11-49-33-071Z/constituents-v2.json</x:v>
      </x:c>
      <x:c r="K57" s="36" t="str"/>
      <x:c r="L57" s="37" t="n">
        <x:v>46304.492743877316</x:v>
      </x:c>
    </x:row>
    <x:row r="58" ht="50" customHeight="1">
      <x:c r="A58" s="8" t="n">
        <x:v>46301</x:v>
      </x:c>
      <x:c r="B58" s="2" t="str">
        <x:v>6506</x:v>
      </x:c>
      <x:c r="C58" s="15" t="n">
        <x:v>4936</x:v>
      </x:c>
      <x:c r="D58" s="15" t="n">
        <x:v>4936</x:v>
      </x:c>
      <x:c r="E58" s="15" t="n">
        <x:v>0</x:v>
      </x:c>
      <x:c r="F58" s="32" t="n">
        <x:v>1</x:v>
      </x:c>
      <x:c r="G58" s="2" t="str">
        <x:v>XJPX</x:v>
      </x:c>
      <x:c r="H58" s="2" t="str">
        <x:v>XJPX</x:v>
      </x:c>
      <x:c r="I58" s="11" t="str">
        <x:f>IF(AND(G58=H58,C58&gt;0,ABS(C58-'Prices'!H58)&lt;=MAX(0.01,'Prices'!H58*0.000001)),"Match","Mismatch")</x:f>
        <x:v>Match</x:v>
      </x:c>
      <x:c r="J58" s="34" t="str">
        <x:v>data/bspi15/raw/marketstack/2026-10-09T11-49-33-071Z/constituents-v2.json</x:v>
      </x:c>
      <x:c r="K58" s="34" t="str"/>
      <x:c r="L58" s="35" t="n">
        <x:v>46304.492743877316</x:v>
      </x:c>
    </x:row>
    <x:row r="59" ht="50" customHeight="1">
      <x:c r="A59" s="9" t="n">
        <x:v>46301</x:v>
      </x:c>
      <x:c r="B59" s="14" t="str">
        <x:v>002747</x:v>
      </x:c>
      <x:c r="C59" s="29" t="n">
        <x:v>28.22</x:v>
      </x:c>
      <x:c r="D59" s="29" t="n">
        <x:v>28.22</x:v>
      </x:c>
      <x:c r="E59" s="29" t="n">
        <x:v>0</x:v>
      </x:c>
      <x:c r="F59" s="33" t="n">
        <x:v>1</x:v>
      </x:c>
      <x:c r="G59" s="10" t="str">
        <x:v>XSHE</x:v>
      </x:c>
      <x:c r="H59" s="10" t="str">
        <x:v>XSHE</x:v>
      </x:c>
      <x:c r="I59" s="12" t="str">
        <x:f>IF(AND(G59=H59,C59&gt;0,ABS(C59-'Prices'!H59)&lt;=MAX(0.01,'Prices'!H59*0.000001)),"Verified closure","Mismatch")</x:f>
        <x:v>Verified closure</x:v>
      </x:c>
      <x:c r="J59" s="36" t="str">
        <x:v>data/bspi15/raw/marketstack/2026-10-09T11-49-33-071Z/constituents-v2.json</x:v>
      </x:c>
      <x:c r="K59" s="36" t="str">
        <x:v>https://www.szse.cn/disclosure/notice/t20251222_618087.html</x:v>
      </x:c>
      <x:c r="L59" s="37" t="n">
        <x:v>46304.492743877316</x:v>
      </x:c>
    </x:row>
    <x:row r="60" ht="50" customHeight="1">
      <x:c r="A60" s="8" t="n">
        <x:v>46301</x:v>
      </x:c>
      <x:c r="B60" s="2" t="str">
        <x:v>TER</x:v>
      </x:c>
      <x:c r="C60" s="15" t="n">
        <x:v>430.32</x:v>
      </x:c>
      <x:c r="D60" s="15" t="n">
        <x:v>430.32</x:v>
      </x:c>
      <x:c r="E60" s="15" t="n">
        <x:v>0</x:v>
      </x:c>
      <x:c r="F60" s="32" t="n">
        <x:v>1</x:v>
      </x:c>
      <x:c r="G60" s="2" t="str">
        <x:v>XNAS</x:v>
      </x:c>
      <x:c r="H60" s="2" t="str">
        <x:v>XNAS</x:v>
      </x:c>
      <x:c r="I60" s="11" t="str">
        <x:f>IF(AND(G60=H60,C60&gt;0,ABS(C60-'Prices'!H60)&lt;=MAX(0.01,'Prices'!H60*0.000001)),"Match","Mismatch")</x:f>
        <x:v>Match</x:v>
      </x:c>
      <x:c r="J60" s="34" t="str">
        <x:v>data/bspi15/raw/marketstack/2026-10-09T11-49-33-071Z/constituents-v2.json</x:v>
      </x:c>
      <x:c r="K60" s="34" t="str"/>
      <x:c r="L60" s="35" t="n">
        <x:v>46304.492743877316</x:v>
      </x:c>
    </x:row>
    <x:row r="61" ht="50" customHeight="1">
      <x:c r="A61" s="9" t="n">
        <x:v>46301</x:v>
      </x:c>
      <x:c r="B61" s="10" t="str">
        <x:v>6268</x:v>
      </x:c>
      <x:c r="C61" s="29" t="n">
        <x:v>4987</x:v>
      </x:c>
      <x:c r="D61" s="29" t="n">
        <x:v>4987</x:v>
      </x:c>
      <x:c r="E61" s="29" t="n">
        <x:v>0</x:v>
      </x:c>
      <x:c r="F61" s="33" t="n">
        <x:v>1</x:v>
      </x:c>
      <x:c r="G61" s="10" t="str">
        <x:v>XJPX</x:v>
      </x:c>
      <x:c r="H61" s="10" t="str">
        <x:v>XJPX</x:v>
      </x:c>
      <x:c r="I61" s="12" t="str">
        <x:f>IF(AND(G61=H61,C61&gt;0,ABS(C61-'Prices'!H61)&lt;=MAX(0.01,'Prices'!H61*0.000001)),"Match","Mismatch")</x:f>
        <x:v>Match</x:v>
      </x:c>
      <x:c r="J61" s="36" t="str">
        <x:v>data/bspi15/raw/marketstack/2026-10-09T11-49-33-071Z/constituents-v2.json</x:v>
      </x:c>
      <x:c r="K61" s="36" t="str"/>
      <x:c r="L61" s="37" t="n">
        <x:v>46304.492743877316</x:v>
      </x:c>
    </x:row>
    <x:row r="62" ht="50" customHeight="1">
      <x:c r="A62" s="8" t="n">
        <x:v>46301</x:v>
      </x:c>
      <x:c r="B62" s="2" t="str">
        <x:v>300124</x:v>
      </x:c>
      <x:c r="C62" s="15" t="n">
        <x:v>51.9</x:v>
      </x:c>
      <x:c r="D62" s="15" t="n">
        <x:v>51.9</x:v>
      </x:c>
      <x:c r="E62" s="15" t="n">
        <x:v>0</x:v>
      </x:c>
      <x:c r="F62" s="32" t="n">
        <x:v>1</x:v>
      </x:c>
      <x:c r="G62" s="2" t="str">
        <x:v>XSHE</x:v>
      </x:c>
      <x:c r="H62" s="2" t="str">
        <x:v>XSHE</x:v>
      </x:c>
      <x:c r="I62" s="11" t="str">
        <x:f>IF(AND(G62=H62,C62&gt;0,ABS(C62-'Prices'!H62)&lt;=MAX(0.01,'Prices'!H62*0.000001)),"Verified closure","Mismatch")</x:f>
        <x:v>Verified closure</x:v>
      </x:c>
      <x:c r="J62" s="34" t="str">
        <x:v>data/bspi15/raw/marketstack/2026-10-09T11-49-33-071Z/constituents-v2.json</x:v>
      </x:c>
      <x:c r="K62" s="34" t="str">
        <x:v>https://www.szse.cn/disclosure/notice/t20251222_618087.html</x:v>
      </x:c>
      <x:c r="L62" s="35" t="n">
        <x:v>46304.492743877316</x:v>
      </x:c>
    </x:row>
    <x:row r="63" ht="50" customHeight="1">
      <x:c r="A63" s="9" t="n">
        <x:v>46301</x:v>
      </x:c>
      <x:c r="B63" s="10" t="str">
        <x:v>6861</x:v>
      </x:c>
      <x:c r="C63" s="29" t="n">
        <x:v>81490</x:v>
      </x:c>
      <x:c r="D63" s="29" t="n">
        <x:v>81490</x:v>
      </x:c>
      <x:c r="E63" s="29" t="n">
        <x:v>0</x:v>
      </x:c>
      <x:c r="F63" s="33" t="n">
        <x:v>1</x:v>
      </x:c>
      <x:c r="G63" s="10" t="str">
        <x:v>XJPX</x:v>
      </x:c>
      <x:c r="H63" s="10" t="str">
        <x:v>XJPX</x:v>
      </x:c>
      <x:c r="I63" s="12" t="str">
        <x:f>IF(AND(G63=H63,C63&gt;0,ABS(C63-'Prices'!H63)&lt;=MAX(0.01,'Prices'!H63*0.000001)),"Match","Mismatch")</x:f>
        <x:v>Match</x:v>
      </x:c>
      <x:c r="J63" s="36" t="str">
        <x:v>data/bspi15/raw/marketstack/2026-10-09T11-49-33-071Z/constituents-v2.json</x:v>
      </x:c>
      <x:c r="K63" s="36" t="str"/>
      <x:c r="L63" s="37" t="n">
        <x:v>46304.492743877316</x:v>
      </x:c>
    </x:row>
    <x:row r="64" ht="50" customHeight="1">
      <x:c r="A64" s="8" t="n">
        <x:v>46301</x:v>
      </x:c>
      <x:c r="B64" s="2" t="str">
        <x:v>CGNX</x:v>
      </x:c>
      <x:c r="C64" s="15" t="n">
        <x:v>66.35</x:v>
      </x:c>
      <x:c r="D64" s="15" t="n">
        <x:v>66.35</x:v>
      </x:c>
      <x:c r="E64" s="15" t="n">
        <x:v>0</x:v>
      </x:c>
      <x:c r="F64" s="32" t="n">
        <x:v>1</x:v>
      </x:c>
      <x:c r="G64" s="2" t="str">
        <x:v>XNAS</x:v>
      </x:c>
      <x:c r="H64" s="2" t="str">
        <x:v>XNAS</x:v>
      </x:c>
      <x:c r="I64" s="11" t="str">
        <x:f>IF(AND(G64=H64,C64&gt;0,ABS(C64-'Prices'!H64)&lt;=MAX(0.01,'Prices'!H64*0.000001)),"Match","Mismatch")</x:f>
        <x:v>Match</x:v>
      </x:c>
      <x:c r="J64" s="34" t="str">
        <x:v>data/bspi15/raw/marketstack/2026-10-09T11-49-33-071Z/constituents-v2.json</x:v>
      </x:c>
      <x:c r="K64" s="34" t="str"/>
      <x:c r="L64" s="35" t="n">
        <x:v>46304.492743877316</x:v>
      </x:c>
    </x:row>
    <x:row r="65" ht="50" customHeight="1">
      <x:c r="A65" s="9" t="n">
        <x:v>46301</x:v>
      </x:c>
      <x:c r="B65" s="10" t="str">
        <x:v>OUST</x:v>
      </x:c>
      <x:c r="C65" s="29" t="n">
        <x:v>44.91</x:v>
      </x:c>
      <x:c r="D65" s="29" t="n">
        <x:v>44.91</x:v>
      </x:c>
      <x:c r="E65" s="29" t="n">
        <x:v>0</x:v>
      </x:c>
      <x:c r="F65" s="33" t="n">
        <x:v>1</x:v>
      </x:c>
      <x:c r="G65" s="10" t="str">
        <x:v>XNYS</x:v>
      </x:c>
      <x:c r="H65" s="10" t="str">
        <x:v>XNYS</x:v>
      </x:c>
      <x:c r="I65" s="12" t="str">
        <x:f>IF(AND(G65=H65,C65&gt;0,ABS(C65-'Prices'!H65)&lt;=MAX(0.01,'Prices'!H65*0.000001)),"Match","Mismatch")</x:f>
        <x:v>Match</x:v>
      </x:c>
      <x:c r="J65" s="36" t="str">
        <x:v>data/bspi15/raw/marketstack/2026-10-09T11-49-33-071Z/constituents-v2.json</x:v>
      </x:c>
      <x:c r="K65" s="36" t="str"/>
      <x:c r="L65" s="37" t="n">
        <x:v>46304.492743877316</x:v>
      </x:c>
    </x:row>
    <x:row r="66" ht="50" customHeight="1">
      <x:c r="A66" s="8" t="n">
        <x:v>46301</x:v>
      </x:c>
      <x:c r="B66" s="2" t="str">
        <x:v>HSAI</x:v>
      </x:c>
      <x:c r="C66" s="15" t="n">
        <x:v>16.27</x:v>
      </x:c>
      <x:c r="D66" s="15" t="n">
        <x:v>16.27</x:v>
      </x:c>
      <x:c r="E66" s="15" t="n">
        <x:v>0</x:v>
      </x:c>
      <x:c r="F66" s="32" t="n">
        <x:v>1</x:v>
      </x:c>
      <x:c r="G66" s="2" t="str">
        <x:v>XNAS</x:v>
      </x:c>
      <x:c r="H66" s="2" t="str">
        <x:v>XNAS</x:v>
      </x:c>
      <x:c r="I66" s="11" t="str">
        <x:f>IF(AND(G66=H66,C66&gt;0,ABS(C66-'Prices'!H66)&lt;=MAX(0.01,'Prices'!H66*0.000001)),"Match","Mismatch")</x:f>
        <x:v>Match</x:v>
      </x:c>
      <x:c r="J66" s="34" t="str">
        <x:v>data/bspi15/raw/marketstack/2026-10-09T11-49-33-071Z/constituents-v2.json</x:v>
      </x:c>
      <x:c r="K66" s="34" t="str"/>
      <x:c r="L66" s="35" t="n">
        <x:v>46304.492743877316</x:v>
      </x:c>
    </x:row>
    <x:row r="67" ht="50" customHeight="1">
      <x:c r="A67" s="9" t="n">
        <x:v>46301</x:v>
      </x:c>
      <x:c r="B67" s="10" t="str">
        <x:v>ROK</x:v>
      </x:c>
      <x:c r="C67" s="29" t="n">
        <x:v>450.74</x:v>
      </x:c>
      <x:c r="D67" s="29" t="n">
        <x:v>450.74</x:v>
      </x:c>
      <x:c r="E67" s="29" t="n">
        <x:v>0</x:v>
      </x:c>
      <x:c r="F67" s="33" t="n">
        <x:v>1</x:v>
      </x:c>
      <x:c r="G67" s="10" t="str">
        <x:v>XNYS</x:v>
      </x:c>
      <x:c r="H67" s="10" t="str">
        <x:v>XNYS</x:v>
      </x:c>
      <x:c r="I67" s="12" t="str">
        <x:f>IF(AND(G67=H67,C67&gt;0,ABS(C67-'Prices'!H67)&lt;=MAX(0.01,'Prices'!H67*0.000001)),"Match","Mismatch")</x:f>
        <x:v>Match</x:v>
      </x:c>
      <x:c r="J67" s="36" t="str">
        <x:v>data/bspi15/raw/marketstack/2026-10-09T11-49-33-071Z/constituents-v2.json</x:v>
      </x:c>
      <x:c r="K67" s="36" t="str"/>
      <x:c r="L67" s="37" t="n">
        <x:v>46304.492743877316</x:v>
      </x:c>
    </x:row>
    <x:row r="68" ht="50" customHeight="1">
      <x:c r="A68" s="8" t="n">
        <x:v>46301</x:v>
      </x:c>
      <x:c r="B68" s="2" t="str">
        <x:v>SIE</x:v>
      </x:c>
      <x:c r="C68" s="15" t="n">
        <x:v>279</x:v>
      </x:c>
      <x:c r="D68" s="15" t="n">
        <x:v>279</x:v>
      </x:c>
      <x:c r="E68" s="15" t="n">
        <x:v>0</x:v>
      </x:c>
      <x:c r="F68" s="32" t="n">
        <x:v>1</x:v>
      </x:c>
      <x:c r="G68" s="2" t="str">
        <x:v>XETR</x:v>
      </x:c>
      <x:c r="H68" s="2" t="str">
        <x:v>XETR</x:v>
      </x:c>
      <x:c r="I68" s="11" t="str">
        <x:f>IF(AND(G68=H68,C68&gt;0,ABS(C68-'Prices'!H68)&lt;=MAX(0.01,'Prices'!H68*0.000001)),"Match","Mismatch")</x:f>
        <x:v>Match</x:v>
      </x:c>
      <x:c r="J68" s="34" t="str">
        <x:v>data/bspi15/raw/marketstack/2026-10-09T11-49-33-071Z/constituents-v2.json</x:v>
      </x:c>
      <x:c r="K68" s="34" t="str"/>
      <x:c r="L68" s="35" t="n">
        <x:v>46304.492743877316</x:v>
      </x:c>
    </x:row>
    <x:row r="69" ht="50" customHeight="1">
      <x:c r="A69" s="9" t="n">
        <x:v>46301</x:v>
      </x:c>
      <x:c r="B69" s="10" t="str">
        <x:v>NXPI</x:v>
      </x:c>
      <x:c r="C69" s="29" t="n">
        <x:v>244.38</x:v>
      </x:c>
      <x:c r="D69" s="29" t="n">
        <x:v>244.38</x:v>
      </x:c>
      <x:c r="E69" s="29" t="n">
        <x:v>0</x:v>
      </x:c>
      <x:c r="F69" s="33" t="n">
        <x:v>1</x:v>
      </x:c>
      <x:c r="G69" s="10" t="str">
        <x:v>XNAS</x:v>
      </x:c>
      <x:c r="H69" s="10" t="str">
        <x:v>XNAS</x:v>
      </x:c>
      <x:c r="I69" s="12" t="str">
        <x:f>IF(AND(G69=H69,C69&gt;0,ABS(C69-'Prices'!H69)&lt;=MAX(0.01,'Prices'!H69*0.000001)),"Match","Mismatch")</x:f>
        <x:v>Match</x:v>
      </x:c>
      <x:c r="J69" s="36" t="str">
        <x:v>data/bspi15/raw/marketstack/2026-10-09T11-49-33-071Z/constituents-v2.json</x:v>
      </x:c>
      <x:c r="K69" s="36" t="str"/>
      <x:c r="L69" s="37" t="n">
        <x:v>46304.492743877316</x:v>
      </x:c>
    </x:row>
    <x:row r="70" ht="50" customHeight="1">
      <x:c r="A70" s="8" t="n">
        <x:v>46301</x:v>
      </x:c>
      <x:c r="B70" s="2" t="str">
        <x:v>6383</x:v>
      </x:c>
      <x:c r="C70" s="15" t="n">
        <x:v>5899</x:v>
      </x:c>
      <x:c r="D70" s="15" t="n">
        <x:v>5899</x:v>
      </x:c>
      <x:c r="E70" s="15" t="n">
        <x:v>0</x:v>
      </x:c>
      <x:c r="F70" s="32" t="n">
        <x:v>1</x:v>
      </x:c>
      <x:c r="G70" s="2" t="str">
        <x:v>XJPX</x:v>
      </x:c>
      <x:c r="H70" s="2" t="str">
        <x:v>XJPX</x:v>
      </x:c>
      <x:c r="I70" s="11" t="str">
        <x:f>IF(AND(G70=H70,C70&gt;0,ABS(C70-'Prices'!H70)&lt;=MAX(0.01,'Prices'!H70*0.000001)),"Match","Mismatch")</x:f>
        <x:v>Match</x:v>
      </x:c>
      <x:c r="J70" s="34" t="str">
        <x:v>data/bspi15/raw/marketstack/2026-10-09T11-49-33-071Z/constituents-v2.json</x:v>
      </x:c>
      <x:c r="K70" s="34" t="str"/>
      <x:c r="L70" s="35" t="n">
        <x:v>46304.492743877316</x:v>
      </x:c>
    </x:row>
    <x:row r="71" ht="50" customHeight="1">
      <x:c r="A71" s="9" t="n">
        <x:v>46301</x:v>
      </x:c>
      <x:c r="B71" s="10" t="str">
        <x:v>HEXA B</x:v>
      </x:c>
      <x:c r="C71" s="29" t="n">
        <x:v>103.45</x:v>
      </x:c>
      <x:c r="D71" s="29" t="n">
        <x:v>103.45</x:v>
      </x:c>
      <x:c r="E71" s="29" t="n">
        <x:v>0</x:v>
      </x:c>
      <x:c r="F71" s="33" t="n">
        <x:v>1</x:v>
      </x:c>
      <x:c r="G71" s="10" t="str">
        <x:v>XSTO</x:v>
      </x:c>
      <x:c r="H71" s="10" t="str">
        <x:v>XSTO</x:v>
      </x:c>
      <x:c r="I71" s="12" t="str">
        <x:f>IF(AND(G71=H71,C71&gt;0,ABS(C71-'Prices'!H71)&lt;=MAX(0.01,'Prices'!H71*0.000001)),"Match","Mismatch")</x:f>
        <x:v>Match</x:v>
      </x:c>
      <x:c r="J71" s="36" t="str">
        <x:v>data/bspi15/raw/marketstack/2026-10-09T11-49-33-071Z/constituents-v2.json</x:v>
      </x:c>
      <x:c r="K71" s="36" t="str"/>
      <x:c r="L71" s="37" t="n">
        <x:v>46304.492743877316</x:v>
      </x:c>
    </x:row>
    <x:row r="72" ht="50" customHeight="1">
      <x:c r="A72" s="8" t="n">
        <x:v>46301</x:v>
      </x:c>
      <x:c r="B72" s="2" t="str">
        <x:v>S&amp;P 500</x:v>
      </x:c>
      <x:c r="C72" s="15" t="n">
        <x:v>7818.93</x:v>
      </x:c>
      <x:c r="D72" s="15" t="n">
        <x:v>7818.93</x:v>
      </x:c>
      <x:c r="E72" s="15" t="n">
        <x:v>0</x:v>
      </x:c>
      <x:c r="F72" s="32" t="n">
        <x:v>1</x:v>
      </x:c>
      <x:c r="G72" s="2" t="str">
        <x:v>INDX</x:v>
      </x:c>
      <x:c r="H72" s="2" t="str">
        <x:v>INDX</x:v>
      </x:c>
      <x:c r="I72" s="11" t="str">
        <x:f>IF(AND(G72=H72,C72&gt;0,ABS(C72-'Prices'!H72)&lt;=MAX(0.01,'Prices'!H72*0.000001)),"Match","Mismatch")</x:f>
        <x:v>Match</x:v>
      </x:c>
      <x:c r="J72" s="34" t="str">
        <x:v>data/bspi15/raw/marketstack/2026-10-09T11-49-33-071Z/benchmarks-v1.json</x:v>
      </x:c>
      <x:c r="K72" s="34" t="str"/>
      <x:c r="L72" s="35" t="n">
        <x:v>46304.492743877316</x:v>
      </x:c>
    </x:row>
    <x:row r="73" ht="50" customHeight="1">
      <x:c r="A73" s="9" t="n">
        <x:v>46301</x:v>
      </x:c>
      <x:c r="B73" s="10" t="str">
        <x:v>Nasdaq Composite</x:v>
      </x:c>
      <x:c r="C73" s="29" t="n">
        <x:v>27599.791</x:v>
      </x:c>
      <x:c r="D73" s="29" t="n">
        <x:v>27599.791</x:v>
      </x:c>
      <x:c r="E73" s="29" t="n">
        <x:v>0</x:v>
      </x:c>
      <x:c r="F73" s="33" t="n">
        <x:v>1</x:v>
      </x:c>
      <x:c r="G73" s="10" t="str">
        <x:v>INDX</x:v>
      </x:c>
      <x:c r="H73" s="10" t="str">
        <x:v>INDX</x:v>
      </x:c>
      <x:c r="I73" s="12" t="str">
        <x:f>IF(AND(G73=H73,C73&gt;0,ABS(C73-'Prices'!H73)&lt;=MAX(0.01,'Prices'!H73*0.000001)),"Match","Mismatch")</x:f>
        <x:v>Match</x:v>
      </x:c>
      <x:c r="J73" s="36" t="str">
        <x:v>data/bspi15/raw/marketstack/2026-10-09T11-49-33-071Z/benchmarks-v1.json</x:v>
      </x:c>
      <x:c r="K73" s="36" t="str"/>
      <x:c r="L73" s="37" t="n">
        <x:v>46304.492743877316</x:v>
      </x:c>
    </x:row>
    <x:row r="74" ht="50" customHeight="1">
      <x:c r="A74" s="8" t="n">
        <x:v>46302</x:v>
      </x:c>
      <x:c r="B74" s="2" t="str">
        <x:v>6954</x:v>
      </x:c>
      <x:c r="C74" s="15" t="n">
        <x:v>6164</x:v>
      </x:c>
      <x:c r="D74" s="15" t="n">
        <x:v>6164</x:v>
      </x:c>
      <x:c r="E74" s="15" t="n">
        <x:v>0</x:v>
      </x:c>
      <x:c r="F74" s="32" t="n">
        <x:v>1</x:v>
      </x:c>
      <x:c r="G74" s="2" t="str">
        <x:v>XJPX</x:v>
      </x:c>
      <x:c r="H74" s="2" t="str">
        <x:v>XJPX</x:v>
      </x:c>
      <x:c r="I74" s="11" t="str">
        <x:f>IF(AND(G74=H74,C74&gt;0,ABS(C74-'Prices'!H74)&lt;=MAX(0.01,'Prices'!H74*0.000001)),"Match","Mismatch")</x:f>
        <x:v>Match</x:v>
      </x:c>
      <x:c r="J74" s="34" t="str">
        <x:v>data/bspi15/raw/marketstack/2026-10-09T11-49-33-071Z/constituents-v2.json</x:v>
      </x:c>
      <x:c r="K74" s="34" t="str"/>
      <x:c r="L74" s="35" t="n">
        <x:v>46304.492743877316</x:v>
      </x:c>
    </x:row>
    <x:row r="75" ht="50" customHeight="1">
      <x:c r="A75" s="9" t="n">
        <x:v>46302</x:v>
      </x:c>
      <x:c r="B75" s="10" t="str">
        <x:v>6506</x:v>
      </x:c>
      <x:c r="C75" s="29" t="n">
        <x:v>4946</x:v>
      </x:c>
      <x:c r="D75" s="29" t="n">
        <x:v>4946</x:v>
      </x:c>
      <x:c r="E75" s="29" t="n">
        <x:v>0</x:v>
      </x:c>
      <x:c r="F75" s="33" t="n">
        <x:v>1</x:v>
      </x:c>
      <x:c r="G75" s="10" t="str">
        <x:v>XJPX</x:v>
      </x:c>
      <x:c r="H75" s="10" t="str">
        <x:v>XJPX</x:v>
      </x:c>
      <x:c r="I75" s="12" t="str">
        <x:f>IF(AND(G75=H75,C75&gt;0,ABS(C75-'Prices'!H75)&lt;=MAX(0.01,'Prices'!H75*0.000001)),"Match","Mismatch")</x:f>
        <x:v>Match</x:v>
      </x:c>
      <x:c r="J75" s="36" t="str">
        <x:v>data/bspi15/raw/marketstack/2026-10-09T11-49-33-071Z/constituents-v2.json</x:v>
      </x:c>
      <x:c r="K75" s="36" t="str"/>
      <x:c r="L75" s="37" t="n">
        <x:v>46304.492743877316</x:v>
      </x:c>
    </x:row>
    <x:row r="76" ht="50" customHeight="1">
      <x:c r="A76" s="8" t="n">
        <x:v>46302</x:v>
      </x:c>
      <x:c r="B76" s="13" t="str">
        <x:v>002747</x:v>
      </x:c>
      <x:c r="C76" s="15" t="n">
        <x:v>28.22</x:v>
      </x:c>
      <x:c r="D76" s="15" t="n">
        <x:v>28.22</x:v>
      </x:c>
      <x:c r="E76" s="15" t="n">
        <x:v>0</x:v>
      </x:c>
      <x:c r="F76" s="32" t="n">
        <x:v>1</x:v>
      </x:c>
      <x:c r="G76" s="2" t="str">
        <x:v>XSHE</x:v>
      </x:c>
      <x:c r="H76" s="2" t="str">
        <x:v>XSHE</x:v>
      </x:c>
      <x:c r="I76" s="11" t="str">
        <x:f>IF(AND(G76=H76,C76&gt;0,ABS(C76-'Prices'!H76)&lt;=MAX(0.01,'Prices'!H76*0.000001)),"Verified closure","Mismatch")</x:f>
        <x:v>Verified closure</x:v>
      </x:c>
      <x:c r="J76" s="34" t="str">
        <x:v>data/bspi15/raw/marketstack/2026-10-09T11-49-33-071Z/constituents-v2.json</x:v>
      </x:c>
      <x:c r="K76" s="34" t="str">
        <x:v>https://www.szse.cn/disclosure/notice/t20251222_618087.html</x:v>
      </x:c>
      <x:c r="L76" s="35" t="n">
        <x:v>46304.492743877316</x:v>
      </x:c>
    </x:row>
    <x:row r="77" ht="50" customHeight="1">
      <x:c r="A77" s="9" t="n">
        <x:v>46302</x:v>
      </x:c>
      <x:c r="B77" s="10" t="str">
        <x:v>TER</x:v>
      </x:c>
      <x:c r="C77" s="29" t="n">
        <x:v>411.78</x:v>
      </x:c>
      <x:c r="D77" s="29" t="n">
        <x:v>411.78</x:v>
      </x:c>
      <x:c r="E77" s="29" t="n">
        <x:v>0</x:v>
      </x:c>
      <x:c r="F77" s="33" t="n">
        <x:v>1</x:v>
      </x:c>
      <x:c r="G77" s="10" t="str">
        <x:v>XNAS</x:v>
      </x:c>
      <x:c r="H77" s="10" t="str">
        <x:v>XNAS</x:v>
      </x:c>
      <x:c r="I77" s="12" t="str">
        <x:f>IF(AND(G77=H77,C77&gt;0,ABS(C77-'Prices'!H77)&lt;=MAX(0.01,'Prices'!H77*0.000001)),"Match","Mismatch")</x:f>
        <x:v>Match</x:v>
      </x:c>
      <x:c r="J77" s="36" t="str">
        <x:v>data/bspi15/raw/marketstack/2026-10-09T11-49-33-071Z/constituents-v2.json</x:v>
      </x:c>
      <x:c r="K77" s="36" t="str"/>
      <x:c r="L77" s="37" t="n">
        <x:v>46304.492743877316</x:v>
      </x:c>
    </x:row>
    <x:row r="78" ht="50" customHeight="1">
      <x:c r="A78" s="8" t="n">
        <x:v>46302</x:v>
      </x:c>
      <x:c r="B78" s="2" t="str">
        <x:v>6268</x:v>
      </x:c>
      <x:c r="C78" s="15" t="n">
        <x:v>5010</x:v>
      </x:c>
      <x:c r="D78" s="15" t="n">
        <x:v>5010</x:v>
      </x:c>
      <x:c r="E78" s="15" t="n">
        <x:v>0</x:v>
      </x:c>
      <x:c r="F78" s="32" t="n">
        <x:v>1</x:v>
      </x:c>
      <x:c r="G78" s="2" t="str">
        <x:v>XJPX</x:v>
      </x:c>
      <x:c r="H78" s="2" t="str">
        <x:v>XJPX</x:v>
      </x:c>
      <x:c r="I78" s="11" t="str">
        <x:f>IF(AND(G78=H78,C78&gt;0,ABS(C78-'Prices'!H78)&lt;=MAX(0.01,'Prices'!H78*0.000001)),"Match","Mismatch")</x:f>
        <x:v>Match</x:v>
      </x:c>
      <x:c r="J78" s="34" t="str">
        <x:v>data/bspi15/raw/marketstack/2026-10-09T11-49-33-071Z/constituents-v2.json</x:v>
      </x:c>
      <x:c r="K78" s="34" t="str"/>
      <x:c r="L78" s="35" t="n">
        <x:v>46304.492743877316</x:v>
      </x:c>
    </x:row>
    <x:row r="79" ht="50" customHeight="1">
      <x:c r="A79" s="9" t="n">
        <x:v>46302</x:v>
      </x:c>
      <x:c r="B79" s="10" t="str">
        <x:v>300124</x:v>
      </x:c>
      <x:c r="C79" s="29" t="n">
        <x:v>51.9</x:v>
      </x:c>
      <x:c r="D79" s="29" t="n">
        <x:v>51.9</x:v>
      </x:c>
      <x:c r="E79" s="29" t="n">
        <x:v>0</x:v>
      </x:c>
      <x:c r="F79" s="33" t="n">
        <x:v>1</x:v>
      </x:c>
      <x:c r="G79" s="10" t="str">
        <x:v>XSHE</x:v>
      </x:c>
      <x:c r="H79" s="10" t="str">
        <x:v>XSHE</x:v>
      </x:c>
      <x:c r="I79" s="12" t="str">
        <x:f>IF(AND(G79=H79,C79&gt;0,ABS(C79-'Prices'!H79)&lt;=MAX(0.01,'Prices'!H79*0.000001)),"Verified closure","Mismatch")</x:f>
        <x:v>Verified closure</x:v>
      </x:c>
      <x:c r="J79" s="36" t="str">
        <x:v>data/bspi15/raw/marketstack/2026-10-09T11-49-33-071Z/constituents-v2.json</x:v>
      </x:c>
      <x:c r="K79" s="36" t="str">
        <x:v>https://www.szse.cn/disclosure/notice/t20251222_618087.html</x:v>
      </x:c>
      <x:c r="L79" s="37" t="n">
        <x:v>46304.492743877316</x:v>
      </x:c>
    </x:row>
    <x:row r="80" ht="50" customHeight="1">
      <x:c r="A80" s="8" t="n">
        <x:v>46302</x:v>
      </x:c>
      <x:c r="B80" s="2" t="str">
        <x:v>6861</x:v>
      </x:c>
      <x:c r="C80" s="15" t="n">
        <x:v>81560</x:v>
      </x:c>
      <x:c r="D80" s="15" t="n">
        <x:v>81560</x:v>
      </x:c>
      <x:c r="E80" s="15" t="n">
        <x:v>0</x:v>
      </x:c>
      <x:c r="F80" s="32" t="n">
        <x:v>1</x:v>
      </x:c>
      <x:c r="G80" s="2" t="str">
        <x:v>XJPX</x:v>
      </x:c>
      <x:c r="H80" s="2" t="str">
        <x:v>XJPX</x:v>
      </x:c>
      <x:c r="I80" s="11" t="str">
        <x:f>IF(AND(G80=H80,C80&gt;0,ABS(C80-'Prices'!H80)&lt;=MAX(0.01,'Prices'!H80*0.000001)),"Match","Mismatch")</x:f>
        <x:v>Match</x:v>
      </x:c>
      <x:c r="J80" s="34" t="str">
        <x:v>data/bspi15/raw/marketstack/2026-10-09T11-49-33-071Z/constituents-v2.json</x:v>
      </x:c>
      <x:c r="K80" s="34" t="str"/>
      <x:c r="L80" s="35" t="n">
        <x:v>46304.492743877316</x:v>
      </x:c>
    </x:row>
    <x:row r="81" ht="50" customHeight="1">
      <x:c r="A81" s="9" t="n">
        <x:v>46302</x:v>
      </x:c>
      <x:c r="B81" s="10" t="str">
        <x:v>CGNX</x:v>
      </x:c>
      <x:c r="C81" s="29" t="n">
        <x:v>61.21</x:v>
      </x:c>
      <x:c r="D81" s="29" t="n">
        <x:v>61.21</x:v>
      </x:c>
      <x:c r="E81" s="29" t="n">
        <x:v>0</x:v>
      </x:c>
      <x:c r="F81" s="33" t="n">
        <x:v>1</x:v>
      </x:c>
      <x:c r="G81" s="10" t="str">
        <x:v>XNAS</x:v>
      </x:c>
      <x:c r="H81" s="10" t="str">
        <x:v>XNAS</x:v>
      </x:c>
      <x:c r="I81" s="12" t="str">
        <x:f>IF(AND(G81=H81,C81&gt;0,ABS(C81-'Prices'!H81)&lt;=MAX(0.01,'Prices'!H81*0.000001)),"Match","Mismatch")</x:f>
        <x:v>Match</x:v>
      </x:c>
      <x:c r="J81" s="36" t="str">
        <x:v>data/bspi15/raw/marketstack/2026-10-09T11-49-33-071Z/constituents-v2.json</x:v>
      </x:c>
      <x:c r="K81" s="36" t="str"/>
      <x:c r="L81" s="37" t="n">
        <x:v>46304.492743877316</x:v>
      </x:c>
    </x:row>
    <x:row r="82" ht="50" customHeight="1">
      <x:c r="A82" s="8" t="n">
        <x:v>46302</x:v>
      </x:c>
      <x:c r="B82" s="2" t="str">
        <x:v>OUST</x:v>
      </x:c>
      <x:c r="C82" s="15" t="n">
        <x:v>41.67</x:v>
      </x:c>
      <x:c r="D82" s="15" t="n">
        <x:v>41.67</x:v>
      </x:c>
      <x:c r="E82" s="15" t="n">
        <x:v>0</x:v>
      </x:c>
      <x:c r="F82" s="32" t="n">
        <x:v>1</x:v>
      </x:c>
      <x:c r="G82" s="2" t="str">
        <x:v>XNYS</x:v>
      </x:c>
      <x:c r="H82" s="2" t="str">
        <x:v>XNYS</x:v>
      </x:c>
      <x:c r="I82" s="11" t="str">
        <x:f>IF(AND(G82=H82,C82&gt;0,ABS(C82-'Prices'!H82)&lt;=MAX(0.01,'Prices'!H82*0.000001)),"Match","Mismatch")</x:f>
        <x:v>Match</x:v>
      </x:c>
      <x:c r="J82" s="34" t="str">
        <x:v>data/bspi15/raw/marketstack/2026-10-09T11-49-33-071Z/constituents-v2.json</x:v>
      </x:c>
      <x:c r="K82" s="34" t="str"/>
      <x:c r="L82" s="35" t="n">
        <x:v>46304.492743877316</x:v>
      </x:c>
    </x:row>
    <x:row r="83" ht="50" customHeight="1">
      <x:c r="A83" s="9" t="n">
        <x:v>46302</x:v>
      </x:c>
      <x:c r="B83" s="10" t="str">
        <x:v>HSAI</x:v>
      </x:c>
      <x:c r="C83" s="29" t="n">
        <x:v>16</x:v>
      </x:c>
      <x:c r="D83" s="29" t="n">
        <x:v>16</x:v>
      </x:c>
      <x:c r="E83" s="29" t="n">
        <x:v>0</x:v>
      </x:c>
      <x:c r="F83" s="33" t="n">
        <x:v>1</x:v>
      </x:c>
      <x:c r="G83" s="10" t="str">
        <x:v>XNAS</x:v>
      </x:c>
      <x:c r="H83" s="10" t="str">
        <x:v>XNAS</x:v>
      </x:c>
      <x:c r="I83" s="12" t="str">
        <x:f>IF(AND(G83=H83,C83&gt;0,ABS(C83-'Prices'!H83)&lt;=MAX(0.01,'Prices'!H83*0.000001)),"Match","Mismatch")</x:f>
        <x:v>Match</x:v>
      </x:c>
      <x:c r="J83" s="36" t="str">
        <x:v>data/bspi15/raw/marketstack/2026-10-09T11-49-33-071Z/constituents-v2.json</x:v>
      </x:c>
      <x:c r="K83" s="36" t="str"/>
      <x:c r="L83" s="37" t="n">
        <x:v>46304.492743877316</x:v>
      </x:c>
    </x:row>
    <x:row r="84" ht="50" customHeight="1">
      <x:c r="A84" s="8" t="n">
        <x:v>46302</x:v>
      </x:c>
      <x:c r="B84" s="2" t="str">
        <x:v>ROK</x:v>
      </x:c>
      <x:c r="C84" s="15" t="n">
        <x:v>441.9</x:v>
      </x:c>
      <x:c r="D84" s="15" t="n">
        <x:v>441.9</x:v>
      </x:c>
      <x:c r="E84" s="15" t="n">
        <x:v>0</x:v>
      </x:c>
      <x:c r="F84" s="32" t="n">
        <x:v>1</x:v>
      </x:c>
      <x:c r="G84" s="2" t="str">
        <x:v>XNYS</x:v>
      </x:c>
      <x:c r="H84" s="2" t="str">
        <x:v>XNYS</x:v>
      </x:c>
      <x:c r="I84" s="11" t="str">
        <x:f>IF(AND(G84=H84,C84&gt;0,ABS(C84-'Prices'!H84)&lt;=MAX(0.01,'Prices'!H84*0.000001)),"Match","Mismatch")</x:f>
        <x:v>Match</x:v>
      </x:c>
      <x:c r="J84" s="34" t="str">
        <x:v>data/bspi15/raw/marketstack/2026-10-09T11-49-33-071Z/constituents-v2.json</x:v>
      </x:c>
      <x:c r="K84" s="34" t="str"/>
      <x:c r="L84" s="35" t="n">
        <x:v>46304.492743877316</x:v>
      </x:c>
    </x:row>
    <x:row r="85" ht="50" customHeight="1">
      <x:c r="A85" s="9" t="n">
        <x:v>46302</x:v>
      </x:c>
      <x:c r="B85" s="10" t="str">
        <x:v>SIE</x:v>
      </x:c>
      <x:c r="C85" s="29" t="n">
        <x:v>271.2</x:v>
      </x:c>
      <x:c r="D85" s="29" t="n">
        <x:v>271.2</x:v>
      </x:c>
      <x:c r="E85" s="29" t="n">
        <x:v>0</x:v>
      </x:c>
      <x:c r="F85" s="33" t="n">
        <x:v>1</x:v>
      </x:c>
      <x:c r="G85" s="10" t="str">
        <x:v>XETR</x:v>
      </x:c>
      <x:c r="H85" s="10" t="str">
        <x:v>XETR</x:v>
      </x:c>
      <x:c r="I85" s="12" t="str">
        <x:f>IF(AND(G85=H85,C85&gt;0,ABS(C85-'Prices'!H85)&lt;=MAX(0.01,'Prices'!H85*0.000001)),"Match","Mismatch")</x:f>
        <x:v>Match</x:v>
      </x:c>
      <x:c r="J85" s="36" t="str">
        <x:v>data/bspi15/raw/marketstack/2026-10-09T11-49-33-071Z/constituents-v2.json</x:v>
      </x:c>
      <x:c r="K85" s="36" t="str"/>
      <x:c r="L85" s="37" t="n">
        <x:v>46304.492743877316</x:v>
      </x:c>
    </x:row>
    <x:row r="86" ht="50" customHeight="1">
      <x:c r="A86" s="8" t="n">
        <x:v>46302</x:v>
      </x:c>
      <x:c r="B86" s="2" t="str">
        <x:v>NXPI</x:v>
      </x:c>
      <x:c r="C86" s="15" t="n">
        <x:v>235.22</x:v>
      </x:c>
      <x:c r="D86" s="15" t="n">
        <x:v>235.22</x:v>
      </x:c>
      <x:c r="E86" s="15" t="n">
        <x:v>0</x:v>
      </x:c>
      <x:c r="F86" s="32" t="n">
        <x:v>1</x:v>
      </x:c>
      <x:c r="G86" s="2" t="str">
        <x:v>XNAS</x:v>
      </x:c>
      <x:c r="H86" s="2" t="str">
        <x:v>XNAS</x:v>
      </x:c>
      <x:c r="I86" s="11" t="str">
        <x:f>IF(AND(G86=H86,C86&gt;0,ABS(C86-'Prices'!H86)&lt;=MAX(0.01,'Prices'!H86*0.000001)),"Match","Mismatch")</x:f>
        <x:v>Match</x:v>
      </x:c>
      <x:c r="J86" s="34" t="str">
        <x:v>data/bspi15/raw/marketstack/2026-10-09T11-49-33-071Z/constituents-v2.json</x:v>
      </x:c>
      <x:c r="K86" s="34" t="str"/>
      <x:c r="L86" s="35" t="n">
        <x:v>46304.492743877316</x:v>
      </x:c>
    </x:row>
    <x:row r="87" ht="50" customHeight="1">
      <x:c r="A87" s="9" t="n">
        <x:v>46302</x:v>
      </x:c>
      <x:c r="B87" s="10" t="str">
        <x:v>6383</x:v>
      </x:c>
      <x:c r="C87" s="29" t="n">
        <x:v>5875</x:v>
      </x:c>
      <x:c r="D87" s="29" t="n">
        <x:v>5875</x:v>
      </x:c>
      <x:c r="E87" s="29" t="n">
        <x:v>0</x:v>
      </x:c>
      <x:c r="F87" s="33" t="n">
        <x:v>1</x:v>
      </x:c>
      <x:c r="G87" s="10" t="str">
        <x:v>XJPX</x:v>
      </x:c>
      <x:c r="H87" s="10" t="str">
        <x:v>XJPX</x:v>
      </x:c>
      <x:c r="I87" s="12" t="str">
        <x:f>IF(AND(G87=H87,C87&gt;0,ABS(C87-'Prices'!H87)&lt;=MAX(0.01,'Prices'!H87*0.000001)),"Match","Mismatch")</x:f>
        <x:v>Match</x:v>
      </x:c>
      <x:c r="J87" s="36" t="str">
        <x:v>data/bspi15/raw/marketstack/2026-10-09T11-49-33-071Z/constituents-v2.json</x:v>
      </x:c>
      <x:c r="K87" s="36" t="str"/>
      <x:c r="L87" s="37" t="n">
        <x:v>46304.492743877316</x:v>
      </x:c>
    </x:row>
    <x:row r="88" ht="50" customHeight="1">
      <x:c r="A88" s="8" t="n">
        <x:v>46302</x:v>
      </x:c>
      <x:c r="B88" s="2" t="str">
        <x:v>HEXA B</x:v>
      </x:c>
      <x:c r="C88" s="15" t="n">
        <x:v>101.05</x:v>
      </x:c>
      <x:c r="D88" s="15" t="n">
        <x:v>101.05</x:v>
      </x:c>
      <x:c r="E88" s="15" t="n">
        <x:v>0</x:v>
      </x:c>
      <x:c r="F88" s="32" t="n">
        <x:v>1</x:v>
      </x:c>
      <x:c r="G88" s="2" t="str">
        <x:v>XSTO</x:v>
      </x:c>
      <x:c r="H88" s="2" t="str">
        <x:v>XSTO</x:v>
      </x:c>
      <x:c r="I88" s="11" t="str">
        <x:f>IF(AND(G88=H88,C88&gt;0,ABS(C88-'Prices'!H88)&lt;=MAX(0.01,'Prices'!H88*0.000001)),"Match","Mismatch")</x:f>
        <x:v>Match</x:v>
      </x:c>
      <x:c r="J88" s="34" t="str">
        <x:v>data/bspi15/raw/marketstack/2026-10-09T11-49-33-071Z/constituents-v2.json</x:v>
      </x:c>
      <x:c r="K88" s="34" t="str"/>
      <x:c r="L88" s="35" t="n">
        <x:v>46304.492743877316</x:v>
      </x:c>
    </x:row>
    <x:row r="89" ht="50" customHeight="1">
      <x:c r="A89" s="9" t="n">
        <x:v>46302</x:v>
      </x:c>
      <x:c r="B89" s="10" t="str">
        <x:v>S&amp;P 500</x:v>
      </x:c>
      <x:c r="C89" s="29" t="n">
        <x:v>7801.77</x:v>
      </x:c>
      <x:c r="D89" s="29" t="n">
        <x:v>7801.77</x:v>
      </x:c>
      <x:c r="E89" s="29" t="n">
        <x:v>0</x:v>
      </x:c>
      <x:c r="F89" s="33" t="n">
        <x:v>1</x:v>
      </x:c>
      <x:c r="G89" s="10" t="str">
        <x:v>INDX</x:v>
      </x:c>
      <x:c r="H89" s="10" t="str">
        <x:v>INDX</x:v>
      </x:c>
      <x:c r="I89" s="12" t="str">
        <x:f>IF(AND(G89=H89,C89&gt;0,ABS(C89-'Prices'!H89)&lt;=MAX(0.01,'Prices'!H89*0.000001)),"Match","Mismatch")</x:f>
        <x:v>Match</x:v>
      </x:c>
      <x:c r="J89" s="36" t="str">
        <x:v>data/bspi15/raw/marketstack/2026-10-09T11-49-33-071Z/benchmarks-v1.json</x:v>
      </x:c>
      <x:c r="K89" s="36" t="str"/>
      <x:c r="L89" s="37" t="n">
        <x:v>46304.492743877316</x:v>
      </x:c>
    </x:row>
    <x:row r="90" ht="50" customHeight="1">
      <x:c r="A90" s="8" t="n">
        <x:v>46302</x:v>
      </x:c>
      <x:c r="B90" s="2" t="str">
        <x:v>Nasdaq Composite</x:v>
      </x:c>
      <x:c r="C90" s="15" t="n">
        <x:v>27538.6914</x:v>
      </x:c>
      <x:c r="D90" s="15" t="n">
        <x:v>27538.6914</x:v>
      </x:c>
      <x:c r="E90" s="15" t="n">
        <x:v>0</x:v>
      </x:c>
      <x:c r="F90" s="32" t="n">
        <x:v>1</x:v>
      </x:c>
      <x:c r="G90" s="2" t="str">
        <x:v>INDX</x:v>
      </x:c>
      <x:c r="H90" s="2" t="str">
        <x:v>INDX</x:v>
      </x:c>
      <x:c r="I90" s="11" t="str">
        <x:f>IF(AND(G90=H90,C90&gt;0,ABS(C90-'Prices'!H90)&lt;=MAX(0.01,'Prices'!H90*0.000001)),"Match","Mismatch")</x:f>
        <x:v>Match</x:v>
      </x:c>
      <x:c r="J90" s="34" t="str">
        <x:v>data/bspi15/raw/marketstack/2026-10-09T11-49-33-071Z/benchmarks-v1.json</x:v>
      </x:c>
      <x:c r="K90" s="34" t="str"/>
      <x:c r="L90" s="35" t="n">
        <x:v>46304.492743877316</x:v>
      </x:c>
    </x:row>
    <x:row r="91" ht="50" customHeight="1">
      <x:c r="A91" s="9" t="n">
        <x:v>46303</x:v>
      </x:c>
      <x:c r="B91" s="10" t="str">
        <x:v>6954</x:v>
      </x:c>
      <x:c r="C91" s="29" t="n">
        <x:v>6019</x:v>
      </x:c>
      <x:c r="D91" s="29" t="n">
        <x:v>6019</x:v>
      </x:c>
      <x:c r="E91" s="29" t="n">
        <x:v>0</x:v>
      </x:c>
      <x:c r="F91" s="33" t="n">
        <x:v>1</x:v>
      </x:c>
      <x:c r="G91" s="10" t="str">
        <x:v>XJPX</x:v>
      </x:c>
      <x:c r="H91" s="10" t="str">
        <x:v>XJPX</x:v>
      </x:c>
      <x:c r="I91" s="12" t="str">
        <x:f>IF(AND(G91=H91,C91&gt;0,ABS(C91-'Prices'!H91)&lt;=MAX(0.01,'Prices'!H91*0.000001)),"Match","Mismatch")</x:f>
        <x:v>Match</x:v>
      </x:c>
      <x:c r="J91" s="36" t="str">
        <x:v>data/bspi15/raw/marketstack/2026-10-09T11-49-33-071Z/constituents-v2.json</x:v>
      </x:c>
      <x:c r="K91" s="36" t="str"/>
      <x:c r="L91" s="37" t="n">
        <x:v>46304.492743877316</x:v>
      </x:c>
    </x:row>
    <x:row r="92" ht="50" customHeight="1">
      <x:c r="A92" s="8" t="n">
        <x:v>46303</x:v>
      </x:c>
      <x:c r="B92" s="2" t="str">
        <x:v>6506</x:v>
      </x:c>
      <x:c r="C92" s="15" t="n">
        <x:v>4789</x:v>
      </x:c>
      <x:c r="D92" s="15" t="n">
        <x:v>4789</x:v>
      </x:c>
      <x:c r="E92" s="15" t="n">
        <x:v>0</x:v>
      </x:c>
      <x:c r="F92" s="32" t="n">
        <x:v>1</x:v>
      </x:c>
      <x:c r="G92" s="2" t="str">
        <x:v>XJPX</x:v>
      </x:c>
      <x:c r="H92" s="2" t="str">
        <x:v>XJPX</x:v>
      </x:c>
      <x:c r="I92" s="11" t="str">
        <x:f>IF(AND(G92=H92,C92&gt;0,ABS(C92-'Prices'!H92)&lt;=MAX(0.01,'Prices'!H92*0.000001)),"Match","Mismatch")</x:f>
        <x:v>Match</x:v>
      </x:c>
      <x:c r="J92" s="34" t="str">
        <x:v>data/bspi15/raw/marketstack/2026-10-09T11-49-33-071Z/constituents-v2.json</x:v>
      </x:c>
      <x:c r="K92" s="34" t="str"/>
      <x:c r="L92" s="35" t="n">
        <x:v>46304.492743877316</x:v>
      </x:c>
    </x:row>
    <x:row r="93" ht="50" customHeight="1">
      <x:c r="A93" s="9" t="n">
        <x:v>46303</x:v>
      </x:c>
      <x:c r="B93" s="14" t="str">
        <x:v>002747</x:v>
      </x:c>
      <x:c r="C93" s="29" t="n">
        <x:v>26.86</x:v>
      </x:c>
      <x:c r="D93" s="29" t="n">
        <x:v>26.86</x:v>
      </x:c>
      <x:c r="E93" s="29" t="n">
        <x:v>0</x:v>
      </x:c>
      <x:c r="F93" s="33" t="n">
        <x:v>1</x:v>
      </x:c>
      <x:c r="G93" s="10" t="str">
        <x:v>XSHE</x:v>
      </x:c>
      <x:c r="H93" s="10" t="str">
        <x:v>XSHE</x:v>
      </x:c>
      <x:c r="I93" s="12" t="str">
        <x:f>IF(AND(G93=H93,C93&gt;0,ABS(C93-'Prices'!H93)&lt;=MAX(0.01,'Prices'!H93*0.000001)),"Match","Mismatch")</x:f>
        <x:v>Match</x:v>
      </x:c>
      <x:c r="J93" s="36" t="str">
        <x:v>data/bspi15/raw/marketstack/2026-10-09T11-49-33-071Z/constituents-v2.json</x:v>
      </x:c>
      <x:c r="K93" s="36" t="str"/>
      <x:c r="L93" s="37" t="n">
        <x:v>46304.492743877316</x:v>
      </x:c>
    </x:row>
    <x:row r="94" ht="50" customHeight="1">
      <x:c r="A94" s="8" t="n">
        <x:v>46303</x:v>
      </x:c>
      <x:c r="B94" s="2" t="str">
        <x:v>TER</x:v>
      </x:c>
      <x:c r="C94" s="15" t="n">
        <x:v>398.72</x:v>
      </x:c>
      <x:c r="D94" s="15" t="n">
        <x:v>398.72</x:v>
      </x:c>
      <x:c r="E94" s="15" t="n">
        <x:v>0</x:v>
      </x:c>
      <x:c r="F94" s="32" t="n">
        <x:v>1</x:v>
      </x:c>
      <x:c r="G94" s="2" t="str">
        <x:v>XNAS</x:v>
      </x:c>
      <x:c r="H94" s="2" t="str">
        <x:v>XNAS</x:v>
      </x:c>
      <x:c r="I94" s="11" t="str">
        <x:f>IF(AND(G94=H94,C94&gt;0,ABS(C94-'Prices'!H94)&lt;=MAX(0.01,'Prices'!H94*0.000001)),"Match","Mismatch")</x:f>
        <x:v>Match</x:v>
      </x:c>
      <x:c r="J94" s="34" t="str">
        <x:v>data/bspi15/raw/marketstack/2026-10-09T11-49-33-071Z/constituents-v2.json</x:v>
      </x:c>
      <x:c r="K94" s="34" t="str"/>
      <x:c r="L94" s="35" t="n">
        <x:v>46304.492743877316</x:v>
      </x:c>
    </x:row>
    <x:row r="95" ht="50" customHeight="1">
      <x:c r="A95" s="9" t="n">
        <x:v>46303</x:v>
      </x:c>
      <x:c r="B95" s="10" t="str">
        <x:v>6268</x:v>
      </x:c>
      <x:c r="C95" s="29" t="n">
        <x:v>4795</x:v>
      </x:c>
      <x:c r="D95" s="29" t="n">
        <x:v>4795</x:v>
      </x:c>
      <x:c r="E95" s="29" t="n">
        <x:v>0</x:v>
      </x:c>
      <x:c r="F95" s="33" t="n">
        <x:v>1</x:v>
      </x:c>
      <x:c r="G95" s="10" t="str">
        <x:v>XJPX</x:v>
      </x:c>
      <x:c r="H95" s="10" t="str">
        <x:v>XJPX</x:v>
      </x:c>
      <x:c r="I95" s="12" t="str">
        <x:f>IF(AND(G95=H95,C95&gt;0,ABS(C95-'Prices'!H95)&lt;=MAX(0.01,'Prices'!H95*0.000001)),"Match","Mismatch")</x:f>
        <x:v>Match</x:v>
      </x:c>
      <x:c r="J95" s="36" t="str">
        <x:v>data/bspi15/raw/marketstack/2026-10-09T11-49-33-071Z/constituents-v2.json</x:v>
      </x:c>
      <x:c r="K95" s="36" t="str"/>
      <x:c r="L95" s="37" t="n">
        <x:v>46304.492743877316</x:v>
      </x:c>
    </x:row>
    <x:row r="96" ht="50" customHeight="1">
      <x:c r="A96" s="8" t="n">
        <x:v>46303</x:v>
      </x:c>
      <x:c r="B96" s="2" t="str">
        <x:v>300124</x:v>
      </x:c>
      <x:c r="C96" s="15" t="n">
        <x:v>49.85</x:v>
      </x:c>
      <x:c r="D96" s="15" t="n">
        <x:v>49.85</x:v>
      </x:c>
      <x:c r="E96" s="15" t="n">
        <x:v>0</x:v>
      </x:c>
      <x:c r="F96" s="32" t="n">
        <x:v>1</x:v>
      </x:c>
      <x:c r="G96" s="2" t="str">
        <x:v>XSHE</x:v>
      </x:c>
      <x:c r="H96" s="2" t="str">
        <x:v>XSHE</x:v>
      </x:c>
      <x:c r="I96" s="11" t="str">
        <x:f>IF(AND(G96=H96,C96&gt;0,ABS(C96-'Prices'!H96)&lt;=MAX(0.01,'Prices'!H96*0.000001)),"Match","Mismatch")</x:f>
        <x:v>Match</x:v>
      </x:c>
      <x:c r="J96" s="34" t="str">
        <x:v>data/bspi15/raw/marketstack/2026-10-09T11-49-33-071Z/constituents-v2.json</x:v>
      </x:c>
      <x:c r="K96" s="34" t="str"/>
      <x:c r="L96" s="35" t="n">
        <x:v>46304.492743877316</x:v>
      </x:c>
    </x:row>
    <x:row r="97" ht="50" customHeight="1">
      <x:c r="A97" s="9" t="n">
        <x:v>46303</x:v>
      </x:c>
      <x:c r="B97" s="10" t="str">
        <x:v>6861</x:v>
      </x:c>
      <x:c r="C97" s="29" t="n">
        <x:v>80000</x:v>
      </x:c>
      <x:c r="D97" s="29" t="n">
        <x:v>80000</x:v>
      </x:c>
      <x:c r="E97" s="29" t="n">
        <x:v>0</x:v>
      </x:c>
      <x:c r="F97" s="33" t="n">
        <x:v>1</x:v>
      </x:c>
      <x:c r="G97" s="10" t="str">
        <x:v>XJPX</x:v>
      </x:c>
      <x:c r="H97" s="10" t="str">
        <x:v>XJPX</x:v>
      </x:c>
      <x:c r="I97" s="12" t="str">
        <x:f>IF(AND(G97=H97,C97&gt;0,ABS(C97-'Prices'!H97)&lt;=MAX(0.01,'Prices'!H97*0.000001)),"Match","Mismatch")</x:f>
        <x:v>Match</x:v>
      </x:c>
      <x:c r="J97" s="36" t="str">
        <x:v>data/bspi15/raw/marketstack/2026-10-09T11-49-33-071Z/constituents-v2.json</x:v>
      </x:c>
      <x:c r="K97" s="36" t="str"/>
      <x:c r="L97" s="37" t="n">
        <x:v>46304.492743877316</x:v>
      </x:c>
    </x:row>
    <x:row r="98" ht="50" customHeight="1">
      <x:c r="A98" s="8" t="n">
        <x:v>46303</x:v>
      </x:c>
      <x:c r="B98" s="2" t="str">
        <x:v>CGNX</x:v>
      </x:c>
      <x:c r="C98" s="15" t="n">
        <x:v>60.91</x:v>
      </x:c>
      <x:c r="D98" s="15" t="n">
        <x:v>60.91</x:v>
      </x:c>
      <x:c r="E98" s="15" t="n">
        <x:v>0</x:v>
      </x:c>
      <x:c r="F98" s="32" t="n">
        <x:v>1</x:v>
      </x:c>
      <x:c r="G98" s="2" t="str">
        <x:v>XNAS</x:v>
      </x:c>
      <x:c r="H98" s="2" t="str">
        <x:v>XNAS</x:v>
      </x:c>
      <x:c r="I98" s="11" t="str">
        <x:f>IF(AND(G98=H98,C98&gt;0,ABS(C98-'Prices'!H98)&lt;=MAX(0.01,'Prices'!H98*0.000001)),"Match","Mismatch")</x:f>
        <x:v>Match</x:v>
      </x:c>
      <x:c r="J98" s="34" t="str">
        <x:v>data/bspi15/raw/marketstack/2026-10-09T11-49-33-071Z/constituents-v2.json</x:v>
      </x:c>
      <x:c r="K98" s="34" t="str"/>
      <x:c r="L98" s="35" t="n">
        <x:v>46304.492743877316</x:v>
      </x:c>
    </x:row>
    <x:row r="99" ht="50" customHeight="1">
      <x:c r="A99" s="9" t="n">
        <x:v>46303</x:v>
      </x:c>
      <x:c r="B99" s="10" t="str">
        <x:v>OUST</x:v>
      </x:c>
      <x:c r="C99" s="29" t="n">
        <x:v>39.53</x:v>
      </x:c>
      <x:c r="D99" s="29" t="n">
        <x:v>39.53</x:v>
      </x:c>
      <x:c r="E99" s="29" t="n">
        <x:v>0</x:v>
      </x:c>
      <x:c r="F99" s="33" t="n">
        <x:v>1</x:v>
      </x:c>
      <x:c r="G99" s="10" t="str">
        <x:v>XNYS</x:v>
      </x:c>
      <x:c r="H99" s="10" t="str">
        <x:v>XNYS</x:v>
      </x:c>
      <x:c r="I99" s="12" t="str">
        <x:f>IF(AND(G99=H99,C99&gt;0,ABS(C99-'Prices'!H99)&lt;=MAX(0.01,'Prices'!H99*0.000001)),"Match","Mismatch")</x:f>
        <x:v>Match</x:v>
      </x:c>
      <x:c r="J99" s="36" t="str">
        <x:v>data/bspi15/raw/marketstack/2026-10-09T11-49-33-071Z/constituents-v2.json</x:v>
      </x:c>
      <x:c r="K99" s="36" t="str"/>
      <x:c r="L99" s="37" t="n">
        <x:v>46304.492743877316</x:v>
      </x:c>
    </x:row>
    <x:row r="100" ht="50" customHeight="1">
      <x:c r="A100" s="8" t="n">
        <x:v>46303</x:v>
      </x:c>
      <x:c r="B100" s="2" t="str">
        <x:v>HSAI</x:v>
      </x:c>
      <x:c r="C100" s="15" t="n">
        <x:v>15.61</x:v>
      </x:c>
      <x:c r="D100" s="15" t="n">
        <x:v>15.61</x:v>
      </x:c>
      <x:c r="E100" s="15" t="n">
        <x:v>0</x:v>
      </x:c>
      <x:c r="F100" s="32" t="n">
        <x:v>1</x:v>
      </x:c>
      <x:c r="G100" s="2" t="str">
        <x:v>XNAS</x:v>
      </x:c>
      <x:c r="H100" s="2" t="str">
        <x:v>XNAS</x:v>
      </x:c>
      <x:c r="I100" s="11" t="str">
        <x:f>IF(AND(G100=H100,C100&gt;0,ABS(C100-'Prices'!H100)&lt;=MAX(0.01,'Prices'!H100*0.000001)),"Match","Mismatch")</x:f>
        <x:v>Match</x:v>
      </x:c>
      <x:c r="J100" s="34" t="str">
        <x:v>data/bspi15/raw/marketstack/2026-10-09T11-49-33-071Z/constituents-v2.json</x:v>
      </x:c>
      <x:c r="K100" s="34" t="str"/>
      <x:c r="L100" s="35" t="n">
        <x:v>46304.492743877316</x:v>
      </x:c>
    </x:row>
    <x:row r="101" ht="50" customHeight="1">
      <x:c r="A101" s="9" t="n">
        <x:v>46303</x:v>
      </x:c>
      <x:c r="B101" s="10" t="str">
        <x:v>ROK</x:v>
      </x:c>
      <x:c r="C101" s="29" t="n">
        <x:v>434.14</x:v>
      </x:c>
      <x:c r="D101" s="29" t="n">
        <x:v>434.14</x:v>
      </x:c>
      <x:c r="E101" s="29" t="n">
        <x:v>0</x:v>
      </x:c>
      <x:c r="F101" s="33" t="n">
        <x:v>1</x:v>
      </x:c>
      <x:c r="G101" s="10" t="str">
        <x:v>XNYS</x:v>
      </x:c>
      <x:c r="H101" s="10" t="str">
        <x:v>XNYS</x:v>
      </x:c>
      <x:c r="I101" s="12" t="str">
        <x:f>IF(AND(G101=H101,C101&gt;0,ABS(C101-'Prices'!H101)&lt;=MAX(0.01,'Prices'!H101*0.000001)),"Match","Mismatch")</x:f>
        <x:v>Match</x:v>
      </x:c>
      <x:c r="J101" s="36" t="str">
        <x:v>data/bspi15/raw/marketstack/2026-10-09T11-49-33-071Z/constituents-v2.json</x:v>
      </x:c>
      <x:c r="K101" s="36" t="str"/>
      <x:c r="L101" s="37" t="n">
        <x:v>46304.492743877316</x:v>
      </x:c>
    </x:row>
    <x:row r="102" ht="50" customHeight="1">
      <x:c r="A102" s="8" t="n">
        <x:v>46303</x:v>
      </x:c>
      <x:c r="B102" s="2" t="str">
        <x:v>SIE</x:v>
      </x:c>
      <x:c r="C102" s="15" t="n">
        <x:v>264.25</x:v>
      </x:c>
      <x:c r="D102" s="15" t="n">
        <x:v>264.25</x:v>
      </x:c>
      <x:c r="E102" s="15" t="n">
        <x:v>0</x:v>
      </x:c>
      <x:c r="F102" s="32" t="n">
        <x:v>1</x:v>
      </x:c>
      <x:c r="G102" s="2" t="str">
        <x:v>XETR</x:v>
      </x:c>
      <x:c r="H102" s="2" t="str">
        <x:v>XETR</x:v>
      </x:c>
      <x:c r="I102" s="11" t="str">
        <x:f>IF(AND(G102=H102,C102&gt;0,ABS(C102-'Prices'!H102)&lt;=MAX(0.01,'Prices'!H102*0.000001)),"Match","Mismatch")</x:f>
        <x:v>Match</x:v>
      </x:c>
      <x:c r="J102" s="34" t="str">
        <x:v>data/bspi15/raw/marketstack/2026-10-09T11-49-33-071Z/constituents-v2.json</x:v>
      </x:c>
      <x:c r="K102" s="34" t="str"/>
      <x:c r="L102" s="35" t="n">
        <x:v>46304.492743877316</x:v>
      </x:c>
    </x:row>
    <x:row r="103" ht="50" customHeight="1">
      <x:c r="A103" s="9" t="n">
        <x:v>46303</x:v>
      </x:c>
      <x:c r="B103" s="10" t="str">
        <x:v>NXPI</x:v>
      </x:c>
      <x:c r="C103" s="29" t="n">
        <x:v>231.07</x:v>
      </x:c>
      <x:c r="D103" s="29" t="n">
        <x:v>231.07</x:v>
      </x:c>
      <x:c r="E103" s="29" t="n">
        <x:v>0</x:v>
      </x:c>
      <x:c r="F103" s="33" t="n">
        <x:v>1</x:v>
      </x:c>
      <x:c r="G103" s="10" t="str">
        <x:v>XNAS</x:v>
      </x:c>
      <x:c r="H103" s="10" t="str">
        <x:v>XNAS</x:v>
      </x:c>
      <x:c r="I103" s="12" t="str">
        <x:f>IF(AND(G103=H103,C103&gt;0,ABS(C103-'Prices'!H103)&lt;=MAX(0.01,'Prices'!H103*0.000001)),"Match","Mismatch")</x:f>
        <x:v>Match</x:v>
      </x:c>
      <x:c r="J103" s="36" t="str">
        <x:v>data/bspi15/raw/marketstack/2026-10-09T11-49-33-071Z/constituents-v2.json</x:v>
      </x:c>
      <x:c r="K103" s="36" t="str"/>
      <x:c r="L103" s="37" t="n">
        <x:v>46304.492743877316</x:v>
      </x:c>
    </x:row>
    <x:row r="104" ht="50" customHeight="1">
      <x:c r="A104" s="8" t="n">
        <x:v>46303</x:v>
      </x:c>
      <x:c r="B104" s="2" t="str">
        <x:v>6383</x:v>
      </x:c>
      <x:c r="C104" s="15" t="n">
        <x:v>5716</x:v>
      </x:c>
      <x:c r="D104" s="15" t="n">
        <x:v>5716</x:v>
      </x:c>
      <x:c r="E104" s="15" t="n">
        <x:v>0</x:v>
      </x:c>
      <x:c r="F104" s="32" t="n">
        <x:v>1</x:v>
      </x:c>
      <x:c r="G104" s="2" t="str">
        <x:v>XJPX</x:v>
      </x:c>
      <x:c r="H104" s="2" t="str">
        <x:v>XJPX</x:v>
      </x:c>
      <x:c r="I104" s="11" t="str">
        <x:f>IF(AND(G104=H104,C104&gt;0,ABS(C104-'Prices'!H104)&lt;=MAX(0.01,'Prices'!H104*0.000001)),"Match","Mismatch")</x:f>
        <x:v>Match</x:v>
      </x:c>
      <x:c r="J104" s="34" t="str">
        <x:v>data/bspi15/raw/marketstack/2026-10-09T11-49-33-071Z/constituents-v2.json</x:v>
      </x:c>
      <x:c r="K104" s="34" t="str"/>
      <x:c r="L104" s="35" t="n">
        <x:v>46304.492743877316</x:v>
      </x:c>
    </x:row>
    <x:row r="105" ht="50" customHeight="1">
      <x:c r="A105" s="9" t="n">
        <x:v>46303</x:v>
      </x:c>
      <x:c r="B105" s="10" t="str">
        <x:v>HEXA B</x:v>
      </x:c>
      <x:c r="C105" s="29" t="n">
        <x:v>101.25</x:v>
      </x:c>
      <x:c r="D105" s="29" t="n">
        <x:v>101.25</x:v>
      </x:c>
      <x:c r="E105" s="29" t="n">
        <x:v>0</x:v>
      </x:c>
      <x:c r="F105" s="33" t="n">
        <x:v>1</x:v>
      </x:c>
      <x:c r="G105" s="10" t="str">
        <x:v>XSTO</x:v>
      </x:c>
      <x:c r="H105" s="10" t="str">
        <x:v>XSTO</x:v>
      </x:c>
      <x:c r="I105" s="12" t="str">
        <x:f>IF(AND(G105=H105,C105&gt;0,ABS(C105-'Prices'!H105)&lt;=MAX(0.01,'Prices'!H105*0.000001)),"Match","Mismatch")</x:f>
        <x:v>Match</x:v>
      </x:c>
      <x:c r="J105" s="36" t="str">
        <x:v>data/bspi15/raw/marketstack/2026-10-09T11-49-33-071Z/constituents-v2.json</x:v>
      </x:c>
      <x:c r="K105" s="36" t="str"/>
      <x:c r="L105" s="37" t="n">
        <x:v>46304.492743877316</x:v>
      </x:c>
    </x:row>
    <x:row r="106" ht="50" customHeight="1">
      <x:c r="A106" s="8" t="n">
        <x:v>46303</x:v>
      </x:c>
      <x:c r="B106" s="2" t="str">
        <x:v>S&amp;P 500</x:v>
      </x:c>
      <x:c r="C106" s="15" t="n">
        <x:v>7765.36</x:v>
      </x:c>
      <x:c r="D106" s="15" t="n">
        <x:v>7765.36</x:v>
      </x:c>
      <x:c r="E106" s="15" t="n">
        <x:v>0</x:v>
      </x:c>
      <x:c r="F106" s="32" t="n">
        <x:v>1</x:v>
      </x:c>
      <x:c r="G106" s="2" t="str">
        <x:v>INDX</x:v>
      </x:c>
      <x:c r="H106" s="2" t="str">
        <x:v>INDX</x:v>
      </x:c>
      <x:c r="I106" s="11" t="str">
        <x:f>IF(AND(G106=H106,C106&gt;0,ABS(C106-'Prices'!H106)&lt;=MAX(0.01,'Prices'!H106*0.000001)),"Match","Mismatch")</x:f>
        <x:v>Match</x:v>
      </x:c>
      <x:c r="J106" s="34" t="str">
        <x:v>data/bspi15/raw/marketstack/2026-10-09T11-49-33-071Z/benchmarks-v1.json</x:v>
      </x:c>
      <x:c r="K106" s="34" t="str"/>
      <x:c r="L106" s="35" t="n">
        <x:v>46304.492743877316</x:v>
      </x:c>
    </x:row>
    <x:row r="107" ht="50" customHeight="1">
      <x:c r="A107" s="9" t="n">
        <x:v>46303</x:v>
      </x:c>
      <x:c r="B107" s="10" t="str">
        <x:v>Nasdaq Composite</x:v>
      </x:c>
      <x:c r="C107" s="29" t="n">
        <x:v>27193.3398</x:v>
      </x:c>
      <x:c r="D107" s="29" t="n">
        <x:v>27193.3398</x:v>
      </x:c>
      <x:c r="E107" s="29" t="n">
        <x:v>0</x:v>
      </x:c>
      <x:c r="F107" s="33" t="n">
        <x:v>1</x:v>
      </x:c>
      <x:c r="G107" s="10" t="str">
        <x:v>INDX</x:v>
      </x:c>
      <x:c r="H107" s="10" t="str">
        <x:v>INDX</x:v>
      </x:c>
      <x:c r="I107" s="12" t="str">
        <x:f>IF(AND(G107=H107,C107&gt;0,ABS(C107-'Prices'!H107)&lt;=MAX(0.01,'Prices'!H107*0.000001)),"Match","Mismatch")</x:f>
        <x:v>Match</x:v>
      </x:c>
      <x:c r="J107" s="36" t="str">
        <x:v>data/bspi15/raw/marketstack/2026-10-09T11-49-33-071Z/benchmarks-v1.json</x:v>
      </x:c>
      <x:c r="K107" s="36" t="str"/>
      <x:c r="L107" s="37" t="n">
        <x:v>46304.492743877316</x:v>
      </x:c>
    </x:row>
  </x:sheetData>
  <x:mergeCells>
    <x:mergeCell ref="A2:D2"/>
    <x:mergeCell ref="A3:J3"/>
  </x:mergeCells>
  <x:pageMargins left="0.7" right="0.7" top="0.75" bottom="0.75" header="0.3" footer="0.3"/>
  <x:tableParts count="1">
    <x:tablePart xmlns:r="http://schemas.openxmlformats.org/officeDocument/2006/relationships" r:id="R224fe760f8dd443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4" hidden="0" customWidth="1"/>
    <x:col min="2" max="2" width="27" hidden="0" customWidth="1"/>
    <x:col min="3" max="3" width="17" hidden="0" customWidth="1"/>
    <x:col min="4" max="4" width="17" hidden="0" customWidth="1"/>
    <x:col min="5" max="5" width="16" hidden="0" customWidth="1"/>
    <x:col min="6" max="6" width="16" hidden="0" customWidth="1"/>
    <x:col min="7" max="7" width="31" hidden="0" customWidth="1"/>
    <x:col min="8" max="8" width="46" hidden="0" customWidth="1"/>
  </x:cols>
  <x:sheetData>
    <x:row r="1" ht="27" customHeight="1">
      <x:c r="A1" s="2"/>
      <x:c r="B1" s="2"/>
      <x:c r="C1" s="2"/>
      <x:c r="D1" s="2"/>
      <x:c r="E1" s="2"/>
      <x:c r="F1" s="2"/>
      <x:c r="G1" s="2"/>
      <x:c r="H1" s="2"/>
    </x:row>
    <x:row r="2" ht="27" customHeight="1">
      <x:c r="A2" s="3" t="str">
        <x:v>Corporate action history</x:v>
      </x:c>
      <x:c r="B2" s="2"/>
      <x:c r="C2" s="2"/>
      <x:c r="D2" s="2"/>
      <x:c r="E2" s="2"/>
      <x:c r="F2" s="2"/>
      <x:c r="G2" s="2"/>
      <x:c r="H2" s="2"/>
    </x:row>
    <x:row r="3" ht="27" customHeight="1">
      <x:c r="A3" s="4" t="str">
        <x:v>Provider split, dividend and security identity checks for each reviewed observation.</x:v>
      </x:c>
      <x:c r="B3" s="4"/>
      <x:c r="C3" s="4"/>
      <x:c r="D3" s="4"/>
      <x:c r="E3" s="4"/>
      <x:c r="F3" s="4"/>
      <x:c r="G3" s="4"/>
      <x:c r="H3" s="4"/>
    </x:row>
    <x:row r="4" ht="27" customHeight="1">
      <x:c r="A4" s="2"/>
      <x:c r="B4" s="2"/>
      <x:c r="C4" s="2"/>
      <x:c r="D4" s="2"/>
      <x:c r="E4" s="2"/>
      <x:c r="F4" s="2"/>
      <x:c r="G4" s="2"/>
      <x:c r="H4" s="2"/>
    </x:row>
    <x:row r="5" ht="46" customHeight="1">
      <x:c r="A5" s="7" t="str">
        <x:v>Date</x:v>
      </x:c>
      <x:c r="B5" s="7" t="str">
        <x:v>Company</x:v>
      </x:c>
      <x:c r="C5" s="7" t="str">
        <x:v>Ticker</x:v>
      </x:c>
      <x:c r="D5" s="7" t="str">
        <x:v>Source date</x:v>
      </x:c>
      <x:c r="E5" s="7" t="str">
        <x:v>Dividend</x:v>
      </x:c>
      <x:c r="F5" s="7" t="str">
        <x:v>Split factor</x:v>
      </x:c>
      <x:c r="G5" s="7" t="str">
        <x:v>Provider review</x:v>
      </x:c>
      <x:c r="H5" s="7" t="str">
        <x:v>Treatment</x:v>
      </x:c>
    </x:row>
    <x:row r="6" ht="27" customHeight="1">
      <x:c r="A6" s="8" t="n">
        <x:v>46296</x:v>
      </x:c>
      <x:c r="B6" s="2" t="str">
        <x:v>FANUC</x:v>
      </x:c>
      <x:c r="C6" s="2" t="str">
        <x:v>6954</x:v>
      </x:c>
      <x:c r="D6" s="8" t="n">
        <x:v>46296</x:v>
      </x:c>
      <x:c r="E6" s="17" t="n">
        <x:f>'Source Audit'!E6</x:f>
        <x:v>0</x:v>
      </x:c>
      <x:c r="F6" s="38" t="n">
        <x:f>'Source Audit'!F6</x:f>
        <x:v>1</x:v>
      </x:c>
      <x:c r="G6" s="11" t="str">
        <x:f>IF(AND(E6=0,F6=1,'Source Audit'!G6='Source Audit'!H6),"No provider flag","Review required")</x:f>
        <x:v>No provider flag</x:v>
      </x:c>
      <x:c r="H6" s="2" t="str">
        <x:v>No continuity adjustment</x:v>
      </x:c>
    </x:row>
    <x:row r="7" ht="27" customHeight="1">
      <x:c r="A7" s="9" t="n">
        <x:v>46296</x:v>
      </x:c>
      <x:c r="B7" s="10" t="str">
        <x:v>Yaskawa Electric</x:v>
      </x:c>
      <x:c r="C7" s="10" t="str">
        <x:v>6506</x:v>
      </x:c>
      <x:c r="D7" s="9" t="n">
        <x:v>46296</x:v>
      </x:c>
      <x:c r="E7" s="16" t="n">
        <x:f>'Source Audit'!E7</x:f>
        <x:v>0</x:v>
      </x:c>
      <x:c r="F7" s="39" t="n">
        <x:f>'Source Audit'!F7</x:f>
        <x:v>1</x:v>
      </x:c>
      <x:c r="G7" s="12" t="str">
        <x:f>IF(AND(E7=0,F7=1,'Source Audit'!G7='Source Audit'!H7),"No provider flag","Review required")</x:f>
        <x:v>No provider flag</x:v>
      </x:c>
      <x:c r="H7" s="10" t="str">
        <x:v>No continuity adjustment</x:v>
      </x:c>
    </x:row>
    <x:row r="8" ht="27" customHeight="1">
      <x:c r="A8" s="8" t="n">
        <x:v>46296</x:v>
      </x:c>
      <x:c r="B8" s="2" t="str">
        <x:v>Estun Automation</x:v>
      </x:c>
      <x:c r="C8" s="13" t="str">
        <x:v>002747</x:v>
      </x:c>
      <x:c r="D8" s="8" t="n">
        <x:v>46295</x:v>
      </x:c>
      <x:c r="E8" s="17" t="n">
        <x:f>'Source Audit'!E8</x:f>
        <x:v>0</x:v>
      </x:c>
      <x:c r="F8" s="38" t="n">
        <x:f>'Source Audit'!F8</x:f>
        <x:v>1</x:v>
      </x:c>
      <x:c r="G8" s="11" t="str">
        <x:f>IF(AND(E8=0,F8=1,'Source Audit'!G8='Source Audit'!H8),"No provider flag","Review required")</x:f>
        <x:v>No provider flag</x:v>
      </x:c>
      <x:c r="H8" s="2" t="str">
        <x:v>No continuity adjustment</x:v>
      </x:c>
    </x:row>
    <x:row r="9" ht="27" customHeight="1">
      <x:c r="A9" s="9" t="n">
        <x:v>46296</x:v>
      </x:c>
      <x:c r="B9" s="10" t="str">
        <x:v>Teradyne</x:v>
      </x:c>
      <x:c r="C9" s="10" t="str">
        <x:v>TER</x:v>
      </x:c>
      <x:c r="D9" s="9" t="n">
        <x:v>46296</x:v>
      </x:c>
      <x:c r="E9" s="16" t="n">
        <x:f>'Source Audit'!E9</x:f>
        <x:v>0</x:v>
      </x:c>
      <x:c r="F9" s="39" t="n">
        <x:f>'Source Audit'!F9</x:f>
        <x:v>1</x:v>
      </x:c>
      <x:c r="G9" s="12" t="str">
        <x:f>IF(AND(E9=0,F9=1,'Source Audit'!G9='Source Audit'!H9),"No provider flag","Review required")</x:f>
        <x:v>No provider flag</x:v>
      </x:c>
      <x:c r="H9" s="10" t="str">
        <x:v>No continuity adjustment</x:v>
      </x:c>
    </x:row>
    <x:row r="10" ht="27" customHeight="1">
      <x:c r="A10" s="8" t="n">
        <x:v>46296</x:v>
      </x:c>
      <x:c r="B10" s="2" t="str">
        <x:v>Nabtesco</x:v>
      </x:c>
      <x:c r="C10" s="2" t="str">
        <x:v>6268</x:v>
      </x:c>
      <x:c r="D10" s="8" t="n">
        <x:v>46296</x:v>
      </x:c>
      <x:c r="E10" s="17" t="n">
        <x:f>'Source Audit'!E10</x:f>
        <x:v>0</x:v>
      </x:c>
      <x:c r="F10" s="38" t="n">
        <x:f>'Source Audit'!F10</x:f>
        <x:v>1</x:v>
      </x:c>
      <x:c r="G10" s="11" t="str">
        <x:f>IF(AND(E10=0,F10=1,'Source Audit'!G10='Source Audit'!H10),"No provider flag","Review required")</x:f>
        <x:v>No provider flag</x:v>
      </x:c>
      <x:c r="H10" s="2" t="str">
        <x:v>No continuity adjustment</x:v>
      </x:c>
    </x:row>
    <x:row r="11" ht="27" customHeight="1">
      <x:c r="A11" s="9" t="n">
        <x:v>46296</x:v>
      </x:c>
      <x:c r="B11" s="10" t="str">
        <x:v>Inovance</x:v>
      </x:c>
      <x:c r="C11" s="10" t="str">
        <x:v>300124</x:v>
      </x:c>
      <x:c r="D11" s="9" t="n">
        <x:v>46295</x:v>
      </x:c>
      <x:c r="E11" s="16" t="n">
        <x:f>'Source Audit'!E11</x:f>
        <x:v>0</x:v>
      </x:c>
      <x:c r="F11" s="39" t="n">
        <x:f>'Source Audit'!F11</x:f>
        <x:v>1</x:v>
      </x:c>
      <x:c r="G11" s="12" t="str">
        <x:f>IF(AND(E11=0,F11=1,'Source Audit'!G11='Source Audit'!H11),"No provider flag","Review required")</x:f>
        <x:v>No provider flag</x:v>
      </x:c>
      <x:c r="H11" s="10" t="str">
        <x:v>No continuity adjustment</x:v>
      </x:c>
    </x:row>
    <x:row r="12" ht="27" customHeight="1">
      <x:c r="A12" s="8" t="n">
        <x:v>46296</x:v>
      </x:c>
      <x:c r="B12" s="2" t="str">
        <x:v>Keyence</x:v>
      </x:c>
      <x:c r="C12" s="2" t="str">
        <x:v>6861</x:v>
      </x:c>
      <x:c r="D12" s="8" t="n">
        <x:v>46296</x:v>
      </x:c>
      <x:c r="E12" s="17" t="n">
        <x:f>'Source Audit'!E12</x:f>
        <x:v>0</x:v>
      </x:c>
      <x:c r="F12" s="38" t="n">
        <x:f>'Source Audit'!F12</x:f>
        <x:v>1</x:v>
      </x:c>
      <x:c r="G12" s="11" t="str">
        <x:f>IF(AND(E12=0,F12=1,'Source Audit'!G12='Source Audit'!H12),"No provider flag","Review required")</x:f>
        <x:v>No provider flag</x:v>
      </x:c>
      <x:c r="H12" s="2" t="str">
        <x:v>No continuity adjustment</x:v>
      </x:c>
    </x:row>
    <x:row r="13" ht="27" customHeight="1">
      <x:c r="A13" s="9" t="n">
        <x:v>46296</x:v>
      </x:c>
      <x:c r="B13" s="10" t="str">
        <x:v>Cognex</x:v>
      </x:c>
      <x:c r="C13" s="10" t="str">
        <x:v>CGNX</x:v>
      </x:c>
      <x:c r="D13" s="9" t="n">
        <x:v>46296</x:v>
      </x:c>
      <x:c r="E13" s="16" t="n">
        <x:f>'Source Audit'!E13</x:f>
        <x:v>0</x:v>
      </x:c>
      <x:c r="F13" s="39" t="n">
        <x:f>'Source Audit'!F13</x:f>
        <x:v>1</x:v>
      </x:c>
      <x:c r="G13" s="12" t="str">
        <x:f>IF(AND(E13=0,F13=1,'Source Audit'!G13='Source Audit'!H13),"No provider flag","Review required")</x:f>
        <x:v>No provider flag</x:v>
      </x:c>
      <x:c r="H13" s="10" t="str">
        <x:v>No continuity adjustment</x:v>
      </x:c>
    </x:row>
    <x:row r="14" ht="27" customHeight="1">
      <x:c r="A14" s="8" t="n">
        <x:v>46296</x:v>
      </x:c>
      <x:c r="B14" s="2" t="str">
        <x:v>Ouster</x:v>
      </x:c>
      <x:c r="C14" s="2" t="str">
        <x:v>OUST</x:v>
      </x:c>
      <x:c r="D14" s="8" t="n">
        <x:v>46296</x:v>
      </x:c>
      <x:c r="E14" s="17" t="n">
        <x:f>'Source Audit'!E14</x:f>
        <x:v>0</x:v>
      </x:c>
      <x:c r="F14" s="38" t="n">
        <x:f>'Source Audit'!F14</x:f>
        <x:v>1</x:v>
      </x:c>
      <x:c r="G14" s="11" t="str">
        <x:f>IF(AND(E14=0,F14=1,'Source Audit'!G14='Source Audit'!H14),"No provider flag","Review required")</x:f>
        <x:v>No provider flag</x:v>
      </x:c>
      <x:c r="H14" s="2" t="str">
        <x:v>No continuity adjustment</x:v>
      </x:c>
    </x:row>
    <x:row r="15" ht="27" customHeight="1">
      <x:c r="A15" s="9" t="n">
        <x:v>46296</x:v>
      </x:c>
      <x:c r="B15" s="10" t="str">
        <x:v>Hesai</x:v>
      </x:c>
      <x:c r="C15" s="10" t="str">
        <x:v>HSAI</x:v>
      </x:c>
      <x:c r="D15" s="9" t="n">
        <x:v>46296</x:v>
      </x:c>
      <x:c r="E15" s="16" t="n">
        <x:f>'Source Audit'!E15</x:f>
        <x:v>0</x:v>
      </x:c>
      <x:c r="F15" s="39" t="n">
        <x:f>'Source Audit'!F15</x:f>
        <x:v>1</x:v>
      </x:c>
      <x:c r="G15" s="12" t="str">
        <x:f>IF(AND(E15=0,F15=1,'Source Audit'!G15='Source Audit'!H15),"No provider flag","Review required")</x:f>
        <x:v>No provider flag</x:v>
      </x:c>
      <x:c r="H15" s="10" t="str">
        <x:v>No continuity adjustment</x:v>
      </x:c>
    </x:row>
    <x:row r="16" ht="27" customHeight="1">
      <x:c r="A16" s="8" t="n">
        <x:v>46296</x:v>
      </x:c>
      <x:c r="B16" s="2" t="str">
        <x:v>Rockwell Automation</x:v>
      </x:c>
      <x:c r="C16" s="2" t="str">
        <x:v>ROK</x:v>
      </x:c>
      <x:c r="D16" s="8" t="n">
        <x:v>46296</x:v>
      </x:c>
      <x:c r="E16" s="17" t="n">
        <x:f>'Source Audit'!E16</x:f>
        <x:v>0</x:v>
      </x:c>
      <x:c r="F16" s="38" t="n">
        <x:f>'Source Audit'!F16</x:f>
        <x:v>1</x:v>
      </x:c>
      <x:c r="G16" s="11" t="str">
        <x:f>IF(AND(E16=0,F16=1,'Source Audit'!G16='Source Audit'!H16),"No provider flag","Review required")</x:f>
        <x:v>No provider flag</x:v>
      </x:c>
      <x:c r="H16" s="2" t="str">
        <x:v>No continuity adjustment</x:v>
      </x:c>
    </x:row>
    <x:row r="17" ht="27" customHeight="1">
      <x:c r="A17" s="9" t="n">
        <x:v>46296</x:v>
      </x:c>
      <x:c r="B17" s="10" t="str">
        <x:v>Siemens</x:v>
      </x:c>
      <x:c r="C17" s="10" t="str">
        <x:v>SIE</x:v>
      </x:c>
      <x:c r="D17" s="9" t="n">
        <x:v>46296</x:v>
      </x:c>
      <x:c r="E17" s="16" t="n">
        <x:f>'Source Audit'!E17</x:f>
        <x:v>0</x:v>
      </x:c>
      <x:c r="F17" s="39" t="n">
        <x:f>'Source Audit'!F17</x:f>
        <x:v>1</x:v>
      </x:c>
      <x:c r="G17" s="12" t="str">
        <x:f>IF(AND(E17=0,F17=1,'Source Audit'!G17='Source Audit'!H17),"No provider flag","Review required")</x:f>
        <x:v>No provider flag</x:v>
      </x:c>
      <x:c r="H17" s="10" t="str">
        <x:v>No continuity adjustment</x:v>
      </x:c>
    </x:row>
    <x:row r="18" ht="27" customHeight="1">
      <x:c r="A18" s="8" t="n">
        <x:v>46296</x:v>
      </x:c>
      <x:c r="B18" s="2" t="str">
        <x:v>NXP Semiconductors</x:v>
      </x:c>
      <x:c r="C18" s="2" t="str">
        <x:v>NXPI</x:v>
      </x:c>
      <x:c r="D18" s="8" t="n">
        <x:v>46296</x:v>
      </x:c>
      <x:c r="E18" s="17" t="n">
        <x:f>'Source Audit'!E18</x:f>
        <x:v>0</x:v>
      </x:c>
      <x:c r="F18" s="38" t="n">
        <x:f>'Source Audit'!F18</x:f>
        <x:v>1</x:v>
      </x:c>
      <x:c r="G18" s="11" t="str">
        <x:f>IF(AND(E18=0,F18=1,'Source Audit'!G18='Source Audit'!H18),"No provider flag","Review required")</x:f>
        <x:v>No provider flag</x:v>
      </x:c>
      <x:c r="H18" s="2" t="str">
        <x:v>No continuity adjustment</x:v>
      </x:c>
    </x:row>
    <x:row r="19" ht="27" customHeight="1">
      <x:c r="A19" s="9" t="n">
        <x:v>46296</x:v>
      </x:c>
      <x:c r="B19" s="10" t="str">
        <x:v>Daifuku</x:v>
      </x:c>
      <x:c r="C19" s="10" t="str">
        <x:v>6383</x:v>
      </x:c>
      <x:c r="D19" s="9" t="n">
        <x:v>46296</x:v>
      </x:c>
      <x:c r="E19" s="16" t="n">
        <x:f>'Source Audit'!E19</x:f>
        <x:v>0</x:v>
      </x:c>
      <x:c r="F19" s="39" t="n">
        <x:f>'Source Audit'!F19</x:f>
        <x:v>1</x:v>
      </x:c>
      <x:c r="G19" s="12" t="str">
        <x:f>IF(AND(E19=0,F19=1,'Source Audit'!G19='Source Audit'!H19),"No provider flag","Review required")</x:f>
        <x:v>No provider flag</x:v>
      </x:c>
      <x:c r="H19" s="10" t="str">
        <x:v>No continuity adjustment</x:v>
      </x:c>
    </x:row>
    <x:row r="20" ht="27" customHeight="1">
      <x:c r="A20" s="8" t="n">
        <x:v>46296</x:v>
      </x:c>
      <x:c r="B20" s="2" t="str">
        <x:v>Hexagon</x:v>
      </x:c>
      <x:c r="C20" s="2" t="str">
        <x:v>HEXA B</x:v>
      </x:c>
      <x:c r="D20" s="8" t="n">
        <x:v>46296</x:v>
      </x:c>
      <x:c r="E20" s="17" t="n">
        <x:f>'Source Audit'!E20</x:f>
        <x:v>0</x:v>
      </x:c>
      <x:c r="F20" s="38" t="n">
        <x:f>'Source Audit'!F20</x:f>
        <x:v>1</x:v>
      </x:c>
      <x:c r="G20" s="11" t="str">
        <x:f>IF(AND(E20=0,F20=1,'Source Audit'!G20='Source Audit'!H20),"No provider flag","Review required")</x:f>
        <x:v>No provider flag</x:v>
      </x:c>
      <x:c r="H20" s="2" t="str">
        <x:v>No continuity adjustment</x:v>
      </x:c>
    </x:row>
    <x:row r="21" ht="27" customHeight="1">
      <x:c r="A21" s="9" t="n">
        <x:v>46296</x:v>
      </x:c>
      <x:c r="B21" s="10" t="str">
        <x:v>S&amp;P 500</x:v>
      </x:c>
      <x:c r="C21" s="10" t="str">
        <x:v>S&amp;P 500</x:v>
      </x:c>
      <x:c r="D21" s="9" t="n">
        <x:v>46296</x:v>
      </x:c>
      <x:c r="E21" s="16" t="n">
        <x:f>'Source Audit'!E21</x:f>
        <x:v>0</x:v>
      </x:c>
      <x:c r="F21" s="39" t="n">
        <x:f>'Source Audit'!F21</x:f>
        <x:v>1</x:v>
      </x:c>
      <x:c r="G21" s="12" t="str">
        <x:f>IF(AND(E21=0,F21=1,'Source Audit'!G21='Source Audit'!H21),"No provider flag","Review required")</x:f>
        <x:v>No provider flag</x:v>
      </x:c>
      <x:c r="H21" s="10" t="str">
        <x:v>No continuity adjustment</x:v>
      </x:c>
    </x:row>
    <x:row r="22" ht="27" customHeight="1">
      <x:c r="A22" s="8" t="n">
        <x:v>46296</x:v>
      </x:c>
      <x:c r="B22" s="2" t="str">
        <x:v>Nasdaq Composite</x:v>
      </x:c>
      <x:c r="C22" s="2" t="str">
        <x:v>Nasdaq Composite</x:v>
      </x:c>
      <x:c r="D22" s="8" t="n">
        <x:v>46296</x:v>
      </x:c>
      <x:c r="E22" s="17" t="n">
        <x:f>'Source Audit'!E22</x:f>
        <x:v>0</x:v>
      </x:c>
      <x:c r="F22" s="38" t="n">
        <x:f>'Source Audit'!F22</x:f>
        <x:v>1</x:v>
      </x:c>
      <x:c r="G22" s="11" t="str">
        <x:f>IF(AND(E22=0,F22=1,'Source Audit'!G22='Source Audit'!H22),"No provider flag","Review required")</x:f>
        <x:v>No provider flag</x:v>
      </x:c>
      <x:c r="H22" s="2" t="str">
        <x:v>No continuity adjustment</x:v>
      </x:c>
    </x:row>
    <x:row r="23" ht="27" customHeight="1">
      <x:c r="A23" s="9" t="n">
        <x:v>46297</x:v>
      </x:c>
      <x:c r="B23" s="10" t="str">
        <x:v>FANUC</x:v>
      </x:c>
      <x:c r="C23" s="10" t="str">
        <x:v>6954</x:v>
      </x:c>
      <x:c r="D23" s="9" t="n">
        <x:v>46297</x:v>
      </x:c>
      <x:c r="E23" s="16" t="n">
        <x:f>'Source Audit'!E23</x:f>
        <x:v>0</x:v>
      </x:c>
      <x:c r="F23" s="39" t="n">
        <x:f>'Source Audit'!F23</x:f>
        <x:v>1</x:v>
      </x:c>
      <x:c r="G23" s="12" t="str">
        <x:f>IF(AND(E23=0,F23=1,'Source Audit'!G23='Source Audit'!H23),"No provider flag","Review required")</x:f>
        <x:v>No provider flag</x:v>
      </x:c>
      <x:c r="H23" s="10" t="str">
        <x:v>No continuity adjustment</x:v>
      </x:c>
    </x:row>
    <x:row r="24" ht="27" customHeight="1">
      <x:c r="A24" s="8" t="n">
        <x:v>46297</x:v>
      </x:c>
      <x:c r="B24" s="2" t="str">
        <x:v>Yaskawa Electric</x:v>
      </x:c>
      <x:c r="C24" s="2" t="str">
        <x:v>6506</x:v>
      </x:c>
      <x:c r="D24" s="8" t="n">
        <x:v>46297</x:v>
      </x:c>
      <x:c r="E24" s="17" t="n">
        <x:f>'Source Audit'!E24</x:f>
        <x:v>0</x:v>
      </x:c>
      <x:c r="F24" s="38" t="n">
        <x:f>'Source Audit'!F24</x:f>
        <x:v>1</x:v>
      </x:c>
      <x:c r="G24" s="11" t="str">
        <x:f>IF(AND(E24=0,F24=1,'Source Audit'!G24='Source Audit'!H24),"No provider flag","Review required")</x:f>
        <x:v>No provider flag</x:v>
      </x:c>
      <x:c r="H24" s="2" t="str">
        <x:v>No continuity adjustment</x:v>
      </x:c>
    </x:row>
    <x:row r="25" ht="27" customHeight="1">
      <x:c r="A25" s="9" t="n">
        <x:v>46297</x:v>
      </x:c>
      <x:c r="B25" s="10" t="str">
        <x:v>Estun Automation</x:v>
      </x:c>
      <x:c r="C25" s="14" t="str">
        <x:v>002747</x:v>
      </x:c>
      <x:c r="D25" s="9" t="n">
        <x:v>46295</x:v>
      </x:c>
      <x:c r="E25" s="16" t="n">
        <x:f>'Source Audit'!E25</x:f>
        <x:v>0</x:v>
      </x:c>
      <x:c r="F25" s="39" t="n">
        <x:f>'Source Audit'!F25</x:f>
        <x:v>1</x:v>
      </x:c>
      <x:c r="G25" s="12" t="str">
        <x:f>IF(AND(E25=0,F25=1,'Source Audit'!G25='Source Audit'!H25),"No provider flag","Review required")</x:f>
        <x:v>No provider flag</x:v>
      </x:c>
      <x:c r="H25" s="10" t="str">
        <x:v>No continuity adjustment</x:v>
      </x:c>
    </x:row>
    <x:row r="26" ht="27" customHeight="1">
      <x:c r="A26" s="8" t="n">
        <x:v>46297</x:v>
      </x:c>
      <x:c r="B26" s="2" t="str">
        <x:v>Teradyne</x:v>
      </x:c>
      <x:c r="C26" s="2" t="str">
        <x:v>TER</x:v>
      </x:c>
      <x:c r="D26" s="8" t="n">
        <x:v>46297</x:v>
      </x:c>
      <x:c r="E26" s="17" t="n">
        <x:f>'Source Audit'!E26</x:f>
        <x:v>0</x:v>
      </x:c>
      <x:c r="F26" s="38" t="n">
        <x:f>'Source Audit'!F26</x:f>
        <x:v>1</x:v>
      </x:c>
      <x:c r="G26" s="11" t="str">
        <x:f>IF(AND(E26=0,F26=1,'Source Audit'!G26='Source Audit'!H26),"No provider flag","Review required")</x:f>
        <x:v>No provider flag</x:v>
      </x:c>
      <x:c r="H26" s="2" t="str">
        <x:v>No continuity adjustment</x:v>
      </x:c>
    </x:row>
    <x:row r="27" ht="27" customHeight="1">
      <x:c r="A27" s="9" t="n">
        <x:v>46297</x:v>
      </x:c>
      <x:c r="B27" s="10" t="str">
        <x:v>Nabtesco</x:v>
      </x:c>
      <x:c r="C27" s="10" t="str">
        <x:v>6268</x:v>
      </x:c>
      <x:c r="D27" s="9" t="n">
        <x:v>46297</x:v>
      </x:c>
      <x:c r="E27" s="16" t="n">
        <x:f>'Source Audit'!E27</x:f>
        <x:v>0</x:v>
      </x:c>
      <x:c r="F27" s="39" t="n">
        <x:f>'Source Audit'!F27</x:f>
        <x:v>1</x:v>
      </x:c>
      <x:c r="G27" s="12" t="str">
        <x:f>IF(AND(E27=0,F27=1,'Source Audit'!G27='Source Audit'!H27),"No provider flag","Review required")</x:f>
        <x:v>No provider flag</x:v>
      </x:c>
      <x:c r="H27" s="10" t="str">
        <x:v>No continuity adjustment</x:v>
      </x:c>
    </x:row>
    <x:row r="28" ht="27" customHeight="1">
      <x:c r="A28" s="8" t="n">
        <x:v>46297</x:v>
      </x:c>
      <x:c r="B28" s="2" t="str">
        <x:v>Inovance</x:v>
      </x:c>
      <x:c r="C28" s="2" t="str">
        <x:v>300124</x:v>
      </x:c>
      <x:c r="D28" s="8" t="n">
        <x:v>46295</x:v>
      </x:c>
      <x:c r="E28" s="17" t="n">
        <x:f>'Source Audit'!E28</x:f>
        <x:v>0</x:v>
      </x:c>
      <x:c r="F28" s="38" t="n">
        <x:f>'Source Audit'!F28</x:f>
        <x:v>1</x:v>
      </x:c>
      <x:c r="G28" s="11" t="str">
        <x:f>IF(AND(E28=0,F28=1,'Source Audit'!G28='Source Audit'!H28),"No provider flag","Review required")</x:f>
        <x:v>No provider flag</x:v>
      </x:c>
      <x:c r="H28" s="2" t="str">
        <x:v>No continuity adjustment</x:v>
      </x:c>
    </x:row>
    <x:row r="29" ht="27" customHeight="1">
      <x:c r="A29" s="9" t="n">
        <x:v>46297</x:v>
      </x:c>
      <x:c r="B29" s="10" t="str">
        <x:v>Keyence</x:v>
      </x:c>
      <x:c r="C29" s="10" t="str">
        <x:v>6861</x:v>
      </x:c>
      <x:c r="D29" s="9" t="n">
        <x:v>46297</x:v>
      </x:c>
      <x:c r="E29" s="16" t="n">
        <x:f>'Source Audit'!E29</x:f>
        <x:v>0</x:v>
      </x:c>
      <x:c r="F29" s="39" t="n">
        <x:f>'Source Audit'!F29</x:f>
        <x:v>1</x:v>
      </x:c>
      <x:c r="G29" s="12" t="str">
        <x:f>IF(AND(E29=0,F29=1,'Source Audit'!G29='Source Audit'!H29),"No provider flag","Review required")</x:f>
        <x:v>No provider flag</x:v>
      </x:c>
      <x:c r="H29" s="10" t="str">
        <x:v>No continuity adjustment</x:v>
      </x:c>
    </x:row>
    <x:row r="30" ht="27" customHeight="1">
      <x:c r="A30" s="8" t="n">
        <x:v>46297</x:v>
      </x:c>
      <x:c r="B30" s="2" t="str">
        <x:v>Cognex</x:v>
      </x:c>
      <x:c r="C30" s="2" t="str">
        <x:v>CGNX</x:v>
      </x:c>
      <x:c r="D30" s="8" t="n">
        <x:v>46297</x:v>
      </x:c>
      <x:c r="E30" s="17" t="n">
        <x:f>'Source Audit'!E30</x:f>
        <x:v>0</x:v>
      </x:c>
      <x:c r="F30" s="38" t="n">
        <x:f>'Source Audit'!F30</x:f>
        <x:v>1</x:v>
      </x:c>
      <x:c r="G30" s="11" t="str">
        <x:f>IF(AND(E30=0,F30=1,'Source Audit'!G30='Source Audit'!H30),"No provider flag","Review required")</x:f>
        <x:v>No provider flag</x:v>
      </x:c>
      <x:c r="H30" s="2" t="str">
        <x:v>No continuity adjustment</x:v>
      </x:c>
    </x:row>
    <x:row r="31" ht="27" customHeight="1">
      <x:c r="A31" s="9" t="n">
        <x:v>46297</x:v>
      </x:c>
      <x:c r="B31" s="10" t="str">
        <x:v>Ouster</x:v>
      </x:c>
      <x:c r="C31" s="10" t="str">
        <x:v>OUST</x:v>
      </x:c>
      <x:c r="D31" s="9" t="n">
        <x:v>46297</x:v>
      </x:c>
      <x:c r="E31" s="16" t="n">
        <x:f>'Source Audit'!E31</x:f>
        <x:v>0</x:v>
      </x:c>
      <x:c r="F31" s="39" t="n">
        <x:f>'Source Audit'!F31</x:f>
        <x:v>1</x:v>
      </x:c>
      <x:c r="G31" s="12" t="str">
        <x:f>IF(AND(E31=0,F31=1,'Source Audit'!G31='Source Audit'!H31),"No provider flag","Review required")</x:f>
        <x:v>No provider flag</x:v>
      </x:c>
      <x:c r="H31" s="10" t="str">
        <x:v>No continuity adjustment</x:v>
      </x:c>
    </x:row>
    <x:row r="32" ht="27" customHeight="1">
      <x:c r="A32" s="8" t="n">
        <x:v>46297</x:v>
      </x:c>
      <x:c r="B32" s="2" t="str">
        <x:v>Hesai</x:v>
      </x:c>
      <x:c r="C32" s="2" t="str">
        <x:v>HSAI</x:v>
      </x:c>
      <x:c r="D32" s="8" t="n">
        <x:v>46297</x:v>
      </x:c>
      <x:c r="E32" s="17" t="n">
        <x:f>'Source Audit'!E32</x:f>
        <x:v>0</x:v>
      </x:c>
      <x:c r="F32" s="38" t="n">
        <x:f>'Source Audit'!F32</x:f>
        <x:v>1</x:v>
      </x:c>
      <x:c r="G32" s="11" t="str">
        <x:f>IF(AND(E32=0,F32=1,'Source Audit'!G32='Source Audit'!H32),"No provider flag","Review required")</x:f>
        <x:v>No provider flag</x:v>
      </x:c>
      <x:c r="H32" s="2" t="str">
        <x:v>No continuity adjustment</x:v>
      </x:c>
    </x:row>
    <x:row r="33" ht="27" customHeight="1">
      <x:c r="A33" s="9" t="n">
        <x:v>46297</x:v>
      </x:c>
      <x:c r="B33" s="10" t="str">
        <x:v>Rockwell Automation</x:v>
      </x:c>
      <x:c r="C33" s="10" t="str">
        <x:v>ROK</x:v>
      </x:c>
      <x:c r="D33" s="9" t="n">
        <x:v>46297</x:v>
      </x:c>
      <x:c r="E33" s="16" t="n">
        <x:f>'Source Audit'!E33</x:f>
        <x:v>0</x:v>
      </x:c>
      <x:c r="F33" s="39" t="n">
        <x:f>'Source Audit'!F33</x:f>
        <x:v>1</x:v>
      </x:c>
      <x:c r="G33" s="12" t="str">
        <x:f>IF(AND(E33=0,F33=1,'Source Audit'!G33='Source Audit'!H33),"No provider flag","Review required")</x:f>
        <x:v>No provider flag</x:v>
      </x:c>
      <x:c r="H33" s="10" t="str">
        <x:v>No continuity adjustment</x:v>
      </x:c>
    </x:row>
    <x:row r="34" ht="27" customHeight="1">
      <x:c r="A34" s="8" t="n">
        <x:v>46297</x:v>
      </x:c>
      <x:c r="B34" s="2" t="str">
        <x:v>Siemens</x:v>
      </x:c>
      <x:c r="C34" s="2" t="str">
        <x:v>SIE</x:v>
      </x:c>
      <x:c r="D34" s="8" t="n">
        <x:v>46297</x:v>
      </x:c>
      <x:c r="E34" s="17" t="n">
        <x:f>'Source Audit'!E34</x:f>
        <x:v>0</x:v>
      </x:c>
      <x:c r="F34" s="38" t="n">
        <x:f>'Source Audit'!F34</x:f>
        <x:v>1</x:v>
      </x:c>
      <x:c r="G34" s="11" t="str">
        <x:f>IF(AND(E34=0,F34=1,'Source Audit'!G34='Source Audit'!H34),"No provider flag","Review required")</x:f>
        <x:v>No provider flag</x:v>
      </x:c>
      <x:c r="H34" s="2" t="str">
        <x:v>No continuity adjustment</x:v>
      </x:c>
    </x:row>
    <x:row r="35" ht="27" customHeight="1">
      <x:c r="A35" s="9" t="n">
        <x:v>46297</x:v>
      </x:c>
      <x:c r="B35" s="10" t="str">
        <x:v>NXP Semiconductors</x:v>
      </x:c>
      <x:c r="C35" s="10" t="str">
        <x:v>NXPI</x:v>
      </x:c>
      <x:c r="D35" s="9" t="n">
        <x:v>46297</x:v>
      </x:c>
      <x:c r="E35" s="16" t="n">
        <x:f>'Source Audit'!E35</x:f>
        <x:v>0</x:v>
      </x:c>
      <x:c r="F35" s="39" t="n">
        <x:f>'Source Audit'!F35</x:f>
        <x:v>1</x:v>
      </x:c>
      <x:c r="G35" s="12" t="str">
        <x:f>IF(AND(E35=0,F35=1,'Source Audit'!G35='Source Audit'!H35),"No provider flag","Review required")</x:f>
        <x:v>No provider flag</x:v>
      </x:c>
      <x:c r="H35" s="10" t="str">
        <x:v>No continuity adjustment</x:v>
      </x:c>
    </x:row>
    <x:row r="36" ht="27" customHeight="1">
      <x:c r="A36" s="8" t="n">
        <x:v>46297</x:v>
      </x:c>
      <x:c r="B36" s="2" t="str">
        <x:v>Daifuku</x:v>
      </x:c>
      <x:c r="C36" s="2" t="str">
        <x:v>6383</x:v>
      </x:c>
      <x:c r="D36" s="8" t="n">
        <x:v>46297</x:v>
      </x:c>
      <x:c r="E36" s="17" t="n">
        <x:f>'Source Audit'!E36</x:f>
        <x:v>0</x:v>
      </x:c>
      <x:c r="F36" s="38" t="n">
        <x:f>'Source Audit'!F36</x:f>
        <x:v>1</x:v>
      </x:c>
      <x:c r="G36" s="11" t="str">
        <x:f>IF(AND(E36=0,F36=1,'Source Audit'!G36='Source Audit'!H36),"No provider flag","Review required")</x:f>
        <x:v>No provider flag</x:v>
      </x:c>
      <x:c r="H36" s="2" t="str">
        <x:v>No continuity adjustment</x:v>
      </x:c>
    </x:row>
    <x:row r="37" ht="27" customHeight="1">
      <x:c r="A37" s="9" t="n">
        <x:v>46297</x:v>
      </x:c>
      <x:c r="B37" s="10" t="str">
        <x:v>Hexagon</x:v>
      </x:c>
      <x:c r="C37" s="10" t="str">
        <x:v>HEXA B</x:v>
      </x:c>
      <x:c r="D37" s="9" t="n">
        <x:v>46297</x:v>
      </x:c>
      <x:c r="E37" s="16" t="n">
        <x:f>'Source Audit'!E37</x:f>
        <x:v>0</x:v>
      </x:c>
      <x:c r="F37" s="39" t="n">
        <x:f>'Source Audit'!F37</x:f>
        <x:v>1</x:v>
      </x:c>
      <x:c r="G37" s="12" t="str">
        <x:f>IF(AND(E37=0,F37=1,'Source Audit'!G37='Source Audit'!H37),"No provider flag","Review required")</x:f>
        <x:v>No provider flag</x:v>
      </x:c>
      <x:c r="H37" s="10" t="str">
        <x:v>No continuity adjustment</x:v>
      </x:c>
    </x:row>
    <x:row r="38" ht="27" customHeight="1">
      <x:c r="A38" s="8" t="n">
        <x:v>46297</x:v>
      </x:c>
      <x:c r="B38" s="2" t="str">
        <x:v>S&amp;P 500</x:v>
      </x:c>
      <x:c r="C38" s="2" t="str">
        <x:v>S&amp;P 500</x:v>
      </x:c>
      <x:c r="D38" s="8" t="n">
        <x:v>46297</x:v>
      </x:c>
      <x:c r="E38" s="17" t="n">
        <x:f>'Source Audit'!E38</x:f>
        <x:v>0</x:v>
      </x:c>
      <x:c r="F38" s="38" t="n">
        <x:f>'Source Audit'!F38</x:f>
        <x:v>1</x:v>
      </x:c>
      <x:c r="G38" s="11" t="str">
        <x:f>IF(AND(E38=0,F38=1,'Source Audit'!G38='Source Audit'!H38),"No provider flag","Review required")</x:f>
        <x:v>No provider flag</x:v>
      </x:c>
      <x:c r="H38" s="2" t="str">
        <x:v>No continuity adjustment</x:v>
      </x:c>
    </x:row>
    <x:row r="39" ht="27" customHeight="1">
      <x:c r="A39" s="9" t="n">
        <x:v>46297</x:v>
      </x:c>
      <x:c r="B39" s="10" t="str">
        <x:v>Nasdaq Composite</x:v>
      </x:c>
      <x:c r="C39" s="10" t="str">
        <x:v>Nasdaq Composite</x:v>
      </x:c>
      <x:c r="D39" s="9" t="n">
        <x:v>46297</x:v>
      </x:c>
      <x:c r="E39" s="16" t="n">
        <x:f>'Source Audit'!E39</x:f>
        <x:v>0</x:v>
      </x:c>
      <x:c r="F39" s="39" t="n">
        <x:f>'Source Audit'!F39</x:f>
        <x:v>1</x:v>
      </x:c>
      <x:c r="G39" s="12" t="str">
        <x:f>IF(AND(E39=0,F39=1,'Source Audit'!G39='Source Audit'!H39),"No provider flag","Review required")</x:f>
        <x:v>No provider flag</x:v>
      </x:c>
      <x:c r="H39" s="10" t="str">
        <x:v>No continuity adjustment</x:v>
      </x:c>
    </x:row>
    <x:row r="40" ht="27" customHeight="1">
      <x:c r="A40" s="8" t="n">
        <x:v>46300</x:v>
      </x:c>
      <x:c r="B40" s="2" t="str">
        <x:v>FANUC</x:v>
      </x:c>
      <x:c r="C40" s="2" t="str">
        <x:v>6954</x:v>
      </x:c>
      <x:c r="D40" s="8" t="n">
        <x:v>46300</x:v>
      </x:c>
      <x:c r="E40" s="17" t="n">
        <x:f>'Source Audit'!E40</x:f>
        <x:v>0</x:v>
      </x:c>
      <x:c r="F40" s="38" t="n">
        <x:f>'Source Audit'!F40</x:f>
        <x:v>1</x:v>
      </x:c>
      <x:c r="G40" s="11" t="str">
        <x:f>IF(AND(E40=0,F40=1,'Source Audit'!G40='Source Audit'!H40),"No provider flag","Review required")</x:f>
        <x:v>No provider flag</x:v>
      </x:c>
      <x:c r="H40" s="2" t="str">
        <x:v>No continuity adjustment</x:v>
      </x:c>
    </x:row>
    <x:row r="41" ht="27" customHeight="1">
      <x:c r="A41" s="9" t="n">
        <x:v>46300</x:v>
      </x:c>
      <x:c r="B41" s="10" t="str">
        <x:v>Yaskawa Electric</x:v>
      </x:c>
      <x:c r="C41" s="10" t="str">
        <x:v>6506</x:v>
      </x:c>
      <x:c r="D41" s="9" t="n">
        <x:v>46300</x:v>
      </x:c>
      <x:c r="E41" s="16" t="n">
        <x:f>'Source Audit'!E41</x:f>
        <x:v>0</x:v>
      </x:c>
      <x:c r="F41" s="39" t="n">
        <x:f>'Source Audit'!F41</x:f>
        <x:v>1</x:v>
      </x:c>
      <x:c r="G41" s="12" t="str">
        <x:f>IF(AND(E41=0,F41=1,'Source Audit'!G41='Source Audit'!H41),"No provider flag","Review required")</x:f>
        <x:v>No provider flag</x:v>
      </x:c>
      <x:c r="H41" s="10" t="str">
        <x:v>No continuity adjustment</x:v>
      </x:c>
    </x:row>
    <x:row r="42" ht="27" customHeight="1">
      <x:c r="A42" s="8" t="n">
        <x:v>46300</x:v>
      </x:c>
      <x:c r="B42" s="2" t="str">
        <x:v>Estun Automation</x:v>
      </x:c>
      <x:c r="C42" s="13" t="str">
        <x:v>002747</x:v>
      </x:c>
      <x:c r="D42" s="8" t="n">
        <x:v>46295</x:v>
      </x:c>
      <x:c r="E42" s="17" t="n">
        <x:f>'Source Audit'!E42</x:f>
        <x:v>0</x:v>
      </x:c>
      <x:c r="F42" s="38" t="n">
        <x:f>'Source Audit'!F42</x:f>
        <x:v>1</x:v>
      </x:c>
      <x:c r="G42" s="11" t="str">
        <x:f>IF(AND(E42=0,F42=1,'Source Audit'!G42='Source Audit'!H42),"No provider flag","Review required")</x:f>
        <x:v>No provider flag</x:v>
      </x:c>
      <x:c r="H42" s="2" t="str">
        <x:v>No continuity adjustment</x:v>
      </x:c>
    </x:row>
    <x:row r="43" ht="27" customHeight="1">
      <x:c r="A43" s="9" t="n">
        <x:v>46300</x:v>
      </x:c>
      <x:c r="B43" s="10" t="str">
        <x:v>Teradyne</x:v>
      </x:c>
      <x:c r="C43" s="10" t="str">
        <x:v>TER</x:v>
      </x:c>
      <x:c r="D43" s="9" t="n">
        <x:v>46300</x:v>
      </x:c>
      <x:c r="E43" s="16" t="n">
        <x:f>'Source Audit'!E43</x:f>
        <x:v>0</x:v>
      </x:c>
      <x:c r="F43" s="39" t="n">
        <x:f>'Source Audit'!F43</x:f>
        <x:v>1</x:v>
      </x:c>
      <x:c r="G43" s="12" t="str">
        <x:f>IF(AND(E43=0,F43=1,'Source Audit'!G43='Source Audit'!H43),"No provider flag","Review required")</x:f>
        <x:v>No provider flag</x:v>
      </x:c>
      <x:c r="H43" s="10" t="str">
        <x:v>No continuity adjustment</x:v>
      </x:c>
    </x:row>
    <x:row r="44" ht="27" customHeight="1">
      <x:c r="A44" s="8" t="n">
        <x:v>46300</x:v>
      </x:c>
      <x:c r="B44" s="2" t="str">
        <x:v>Nabtesco</x:v>
      </x:c>
      <x:c r="C44" s="2" t="str">
        <x:v>6268</x:v>
      </x:c>
      <x:c r="D44" s="8" t="n">
        <x:v>46300</x:v>
      </x:c>
      <x:c r="E44" s="17" t="n">
        <x:f>'Source Audit'!E44</x:f>
        <x:v>0</x:v>
      </x:c>
      <x:c r="F44" s="38" t="n">
        <x:f>'Source Audit'!F44</x:f>
        <x:v>1</x:v>
      </x:c>
      <x:c r="G44" s="11" t="str">
        <x:f>IF(AND(E44=0,F44=1,'Source Audit'!G44='Source Audit'!H44),"No provider flag","Review required")</x:f>
        <x:v>No provider flag</x:v>
      </x:c>
      <x:c r="H44" s="2" t="str">
        <x:v>No continuity adjustment</x:v>
      </x:c>
    </x:row>
    <x:row r="45" ht="27" customHeight="1">
      <x:c r="A45" s="9" t="n">
        <x:v>46300</x:v>
      </x:c>
      <x:c r="B45" s="10" t="str">
        <x:v>Inovance</x:v>
      </x:c>
      <x:c r="C45" s="10" t="str">
        <x:v>300124</x:v>
      </x:c>
      <x:c r="D45" s="9" t="n">
        <x:v>46295</x:v>
      </x:c>
      <x:c r="E45" s="16" t="n">
        <x:f>'Source Audit'!E45</x:f>
        <x:v>0</x:v>
      </x:c>
      <x:c r="F45" s="39" t="n">
        <x:f>'Source Audit'!F45</x:f>
        <x:v>1</x:v>
      </x:c>
      <x:c r="G45" s="12" t="str">
        <x:f>IF(AND(E45=0,F45=1,'Source Audit'!G45='Source Audit'!H45),"No provider flag","Review required")</x:f>
        <x:v>No provider flag</x:v>
      </x:c>
      <x:c r="H45" s="10" t="str">
        <x:v>No continuity adjustment</x:v>
      </x:c>
    </x:row>
    <x:row r="46" ht="27" customHeight="1">
      <x:c r="A46" s="8" t="n">
        <x:v>46300</x:v>
      </x:c>
      <x:c r="B46" s="2" t="str">
        <x:v>Keyence</x:v>
      </x:c>
      <x:c r="C46" s="2" t="str">
        <x:v>6861</x:v>
      </x:c>
      <x:c r="D46" s="8" t="n">
        <x:v>46300</x:v>
      </x:c>
      <x:c r="E46" s="17" t="n">
        <x:f>'Source Audit'!E46</x:f>
        <x:v>0</x:v>
      </x:c>
      <x:c r="F46" s="38" t="n">
        <x:f>'Source Audit'!F46</x:f>
        <x:v>1</x:v>
      </x:c>
      <x:c r="G46" s="11" t="str">
        <x:f>IF(AND(E46=0,F46=1,'Source Audit'!G46='Source Audit'!H46),"No provider flag","Review required")</x:f>
        <x:v>No provider flag</x:v>
      </x:c>
      <x:c r="H46" s="2" t="str">
        <x:v>No continuity adjustment</x:v>
      </x:c>
    </x:row>
    <x:row r="47" ht="27" customHeight="1">
      <x:c r="A47" s="9" t="n">
        <x:v>46300</x:v>
      </x:c>
      <x:c r="B47" s="10" t="str">
        <x:v>Cognex</x:v>
      </x:c>
      <x:c r="C47" s="10" t="str">
        <x:v>CGNX</x:v>
      </x:c>
      <x:c r="D47" s="9" t="n">
        <x:v>46300</x:v>
      </x:c>
      <x:c r="E47" s="16" t="n">
        <x:f>'Source Audit'!E47</x:f>
        <x:v>0</x:v>
      </x:c>
      <x:c r="F47" s="39" t="n">
        <x:f>'Source Audit'!F47</x:f>
        <x:v>1</x:v>
      </x:c>
      <x:c r="G47" s="12" t="str">
        <x:f>IF(AND(E47=0,F47=1,'Source Audit'!G47='Source Audit'!H47),"No provider flag","Review required")</x:f>
        <x:v>No provider flag</x:v>
      </x:c>
      <x:c r="H47" s="10" t="str">
        <x:v>No continuity adjustment</x:v>
      </x:c>
    </x:row>
    <x:row r="48" ht="27" customHeight="1">
      <x:c r="A48" s="8" t="n">
        <x:v>46300</x:v>
      </x:c>
      <x:c r="B48" s="2" t="str">
        <x:v>Ouster</x:v>
      </x:c>
      <x:c r="C48" s="2" t="str">
        <x:v>OUST</x:v>
      </x:c>
      <x:c r="D48" s="8" t="n">
        <x:v>46300</x:v>
      </x:c>
      <x:c r="E48" s="17" t="n">
        <x:f>'Source Audit'!E48</x:f>
        <x:v>0</x:v>
      </x:c>
      <x:c r="F48" s="38" t="n">
        <x:f>'Source Audit'!F48</x:f>
        <x:v>1</x:v>
      </x:c>
      <x:c r="G48" s="11" t="str">
        <x:f>IF(AND(E48=0,F48=1,'Source Audit'!G48='Source Audit'!H48),"No provider flag","Review required")</x:f>
        <x:v>No provider flag</x:v>
      </x:c>
      <x:c r="H48" s="2" t="str">
        <x:v>No continuity adjustment</x:v>
      </x:c>
    </x:row>
    <x:row r="49" ht="27" customHeight="1">
      <x:c r="A49" s="9" t="n">
        <x:v>46300</x:v>
      </x:c>
      <x:c r="B49" s="10" t="str">
        <x:v>Hesai</x:v>
      </x:c>
      <x:c r="C49" s="10" t="str">
        <x:v>HSAI</x:v>
      </x:c>
      <x:c r="D49" s="9" t="n">
        <x:v>46300</x:v>
      </x:c>
      <x:c r="E49" s="16" t="n">
        <x:f>'Source Audit'!E49</x:f>
        <x:v>0</x:v>
      </x:c>
      <x:c r="F49" s="39" t="n">
        <x:f>'Source Audit'!F49</x:f>
        <x:v>1</x:v>
      </x:c>
      <x:c r="G49" s="12" t="str">
        <x:f>IF(AND(E49=0,F49=1,'Source Audit'!G49='Source Audit'!H49),"No provider flag","Review required")</x:f>
        <x:v>No provider flag</x:v>
      </x:c>
      <x:c r="H49" s="10" t="str">
        <x:v>No continuity adjustment</x:v>
      </x:c>
    </x:row>
    <x:row r="50" ht="27" customHeight="1">
      <x:c r="A50" s="8" t="n">
        <x:v>46300</x:v>
      </x:c>
      <x:c r="B50" s="2" t="str">
        <x:v>Rockwell Automation</x:v>
      </x:c>
      <x:c r="C50" s="2" t="str">
        <x:v>ROK</x:v>
      </x:c>
      <x:c r="D50" s="8" t="n">
        <x:v>46300</x:v>
      </x:c>
      <x:c r="E50" s="17" t="n">
        <x:f>'Source Audit'!E50</x:f>
        <x:v>0</x:v>
      </x:c>
      <x:c r="F50" s="38" t="n">
        <x:f>'Source Audit'!F50</x:f>
        <x:v>1</x:v>
      </x:c>
      <x:c r="G50" s="11" t="str">
        <x:f>IF(AND(E50=0,F50=1,'Source Audit'!G50='Source Audit'!H50),"No provider flag","Review required")</x:f>
        <x:v>No provider flag</x:v>
      </x:c>
      <x:c r="H50" s="2" t="str">
        <x:v>No continuity adjustment</x:v>
      </x:c>
    </x:row>
    <x:row r="51" ht="27" customHeight="1">
      <x:c r="A51" s="9" t="n">
        <x:v>46300</x:v>
      </x:c>
      <x:c r="B51" s="10" t="str">
        <x:v>Siemens</x:v>
      </x:c>
      <x:c r="C51" s="10" t="str">
        <x:v>SIE</x:v>
      </x:c>
      <x:c r="D51" s="9" t="n">
        <x:v>46300</x:v>
      </x:c>
      <x:c r="E51" s="16" t="n">
        <x:f>'Source Audit'!E51</x:f>
        <x:v>0</x:v>
      </x:c>
      <x:c r="F51" s="39" t="n">
        <x:f>'Source Audit'!F51</x:f>
        <x:v>1</x:v>
      </x:c>
      <x:c r="G51" s="12" t="str">
        <x:f>IF(AND(E51=0,F51=1,'Source Audit'!G51='Source Audit'!H51),"No provider flag","Review required")</x:f>
        <x:v>No provider flag</x:v>
      </x:c>
      <x:c r="H51" s="10" t="str">
        <x:v>No continuity adjustment</x:v>
      </x:c>
    </x:row>
    <x:row r="52" ht="27" customHeight="1">
      <x:c r="A52" s="8" t="n">
        <x:v>46300</x:v>
      </x:c>
      <x:c r="B52" s="2" t="str">
        <x:v>NXP Semiconductors</x:v>
      </x:c>
      <x:c r="C52" s="2" t="str">
        <x:v>NXPI</x:v>
      </x:c>
      <x:c r="D52" s="8" t="n">
        <x:v>46300</x:v>
      </x:c>
      <x:c r="E52" s="17" t="n">
        <x:f>'Source Audit'!E52</x:f>
        <x:v>0</x:v>
      </x:c>
      <x:c r="F52" s="38" t="n">
        <x:f>'Source Audit'!F52</x:f>
        <x:v>1</x:v>
      </x:c>
      <x:c r="G52" s="11" t="str">
        <x:f>IF(AND(E52=0,F52=1,'Source Audit'!G52='Source Audit'!H52),"No provider flag","Review required")</x:f>
        <x:v>No provider flag</x:v>
      </x:c>
      <x:c r="H52" s="2" t="str">
        <x:v>No continuity adjustment</x:v>
      </x:c>
    </x:row>
    <x:row r="53" ht="27" customHeight="1">
      <x:c r="A53" s="9" t="n">
        <x:v>46300</x:v>
      </x:c>
      <x:c r="B53" s="10" t="str">
        <x:v>Daifuku</x:v>
      </x:c>
      <x:c r="C53" s="10" t="str">
        <x:v>6383</x:v>
      </x:c>
      <x:c r="D53" s="9" t="n">
        <x:v>46300</x:v>
      </x:c>
      <x:c r="E53" s="16" t="n">
        <x:f>'Source Audit'!E53</x:f>
        <x:v>0</x:v>
      </x:c>
      <x:c r="F53" s="39" t="n">
        <x:f>'Source Audit'!F53</x:f>
        <x:v>1</x:v>
      </x:c>
      <x:c r="G53" s="12" t="str">
        <x:f>IF(AND(E53=0,F53=1,'Source Audit'!G53='Source Audit'!H53),"No provider flag","Review required")</x:f>
        <x:v>No provider flag</x:v>
      </x:c>
      <x:c r="H53" s="10" t="str">
        <x:v>No continuity adjustment</x:v>
      </x:c>
    </x:row>
    <x:row r="54" ht="27" customHeight="1">
      <x:c r="A54" s="8" t="n">
        <x:v>46300</x:v>
      </x:c>
      <x:c r="B54" s="2" t="str">
        <x:v>Hexagon</x:v>
      </x:c>
      <x:c r="C54" s="2" t="str">
        <x:v>HEXA B</x:v>
      </x:c>
      <x:c r="D54" s="8" t="n">
        <x:v>46300</x:v>
      </x:c>
      <x:c r="E54" s="17" t="n">
        <x:f>'Source Audit'!E54</x:f>
        <x:v>0</x:v>
      </x:c>
      <x:c r="F54" s="38" t="n">
        <x:f>'Source Audit'!F54</x:f>
        <x:v>1</x:v>
      </x:c>
      <x:c r="G54" s="11" t="str">
        <x:f>IF(AND(E54=0,F54=1,'Source Audit'!G54='Source Audit'!H54),"No provider flag","Review required")</x:f>
        <x:v>No provider flag</x:v>
      </x:c>
      <x:c r="H54" s="2" t="str">
        <x:v>No continuity adjustment</x:v>
      </x:c>
    </x:row>
    <x:row r="55" ht="27" customHeight="1">
      <x:c r="A55" s="9" t="n">
        <x:v>46300</x:v>
      </x:c>
      <x:c r="B55" s="10" t="str">
        <x:v>S&amp;P 500</x:v>
      </x:c>
      <x:c r="C55" s="10" t="str">
        <x:v>S&amp;P 500</x:v>
      </x:c>
      <x:c r="D55" s="9" t="n">
        <x:v>46300</x:v>
      </x:c>
      <x:c r="E55" s="16" t="n">
        <x:f>'Source Audit'!E55</x:f>
        <x:v>0</x:v>
      </x:c>
      <x:c r="F55" s="39" t="n">
        <x:f>'Source Audit'!F55</x:f>
        <x:v>1</x:v>
      </x:c>
      <x:c r="G55" s="12" t="str">
        <x:f>IF(AND(E55=0,F55=1,'Source Audit'!G55='Source Audit'!H55),"No provider flag","Review required")</x:f>
        <x:v>No provider flag</x:v>
      </x:c>
      <x:c r="H55" s="10" t="str">
        <x:v>No continuity adjustment</x:v>
      </x:c>
    </x:row>
    <x:row r="56" ht="27" customHeight="1">
      <x:c r="A56" s="8" t="n">
        <x:v>46300</x:v>
      </x:c>
      <x:c r="B56" s="2" t="str">
        <x:v>Nasdaq Composite</x:v>
      </x:c>
      <x:c r="C56" s="2" t="str">
        <x:v>Nasdaq Composite</x:v>
      </x:c>
      <x:c r="D56" s="8" t="n">
        <x:v>46300</x:v>
      </x:c>
      <x:c r="E56" s="17" t="n">
        <x:f>'Source Audit'!E56</x:f>
        <x:v>0</x:v>
      </x:c>
      <x:c r="F56" s="38" t="n">
        <x:f>'Source Audit'!F56</x:f>
        <x:v>1</x:v>
      </x:c>
      <x:c r="G56" s="11" t="str">
        <x:f>IF(AND(E56=0,F56=1,'Source Audit'!G56='Source Audit'!H56),"No provider flag","Review required")</x:f>
        <x:v>No provider flag</x:v>
      </x:c>
      <x:c r="H56" s="2" t="str">
        <x:v>No continuity adjustment</x:v>
      </x:c>
    </x:row>
    <x:row r="57" ht="27" customHeight="1">
      <x:c r="A57" s="9" t="n">
        <x:v>46301</x:v>
      </x:c>
      <x:c r="B57" s="10" t="str">
        <x:v>FANUC</x:v>
      </x:c>
      <x:c r="C57" s="10" t="str">
        <x:v>6954</x:v>
      </x:c>
      <x:c r="D57" s="9" t="n">
        <x:v>46301</x:v>
      </x:c>
      <x:c r="E57" s="16" t="n">
        <x:f>'Source Audit'!E57</x:f>
        <x:v>0</x:v>
      </x:c>
      <x:c r="F57" s="39" t="n">
        <x:f>'Source Audit'!F57</x:f>
        <x:v>1</x:v>
      </x:c>
      <x:c r="G57" s="12" t="str">
        <x:f>IF(AND(E57=0,F57=1,'Source Audit'!G57='Source Audit'!H57),"No provider flag","Review required")</x:f>
        <x:v>No provider flag</x:v>
      </x:c>
      <x:c r="H57" s="10" t="str">
        <x:v>No continuity adjustment</x:v>
      </x:c>
    </x:row>
    <x:row r="58" ht="27" customHeight="1">
      <x:c r="A58" s="8" t="n">
        <x:v>46301</x:v>
      </x:c>
      <x:c r="B58" s="2" t="str">
        <x:v>Yaskawa Electric</x:v>
      </x:c>
      <x:c r="C58" s="2" t="str">
        <x:v>6506</x:v>
      </x:c>
      <x:c r="D58" s="8" t="n">
        <x:v>46301</x:v>
      </x:c>
      <x:c r="E58" s="17" t="n">
        <x:f>'Source Audit'!E58</x:f>
        <x:v>0</x:v>
      </x:c>
      <x:c r="F58" s="38" t="n">
        <x:f>'Source Audit'!F58</x:f>
        <x:v>1</x:v>
      </x:c>
      <x:c r="G58" s="11" t="str">
        <x:f>IF(AND(E58=0,F58=1,'Source Audit'!G58='Source Audit'!H58),"No provider flag","Review required")</x:f>
        <x:v>No provider flag</x:v>
      </x:c>
      <x:c r="H58" s="2" t="str">
        <x:v>No continuity adjustment</x:v>
      </x:c>
    </x:row>
    <x:row r="59" ht="27" customHeight="1">
      <x:c r="A59" s="9" t="n">
        <x:v>46301</x:v>
      </x:c>
      <x:c r="B59" s="10" t="str">
        <x:v>Estun Automation</x:v>
      </x:c>
      <x:c r="C59" s="14" t="str">
        <x:v>002747</x:v>
      </x:c>
      <x:c r="D59" s="9" t="n">
        <x:v>46295</x:v>
      </x:c>
      <x:c r="E59" s="16" t="n">
        <x:f>'Source Audit'!E59</x:f>
        <x:v>0</x:v>
      </x:c>
      <x:c r="F59" s="39" t="n">
        <x:f>'Source Audit'!F59</x:f>
        <x:v>1</x:v>
      </x:c>
      <x:c r="G59" s="12" t="str">
        <x:f>IF(AND(E59=0,F59=1,'Source Audit'!G59='Source Audit'!H59),"No provider flag","Review required")</x:f>
        <x:v>No provider flag</x:v>
      </x:c>
      <x:c r="H59" s="10" t="str">
        <x:v>No continuity adjustment</x:v>
      </x:c>
    </x:row>
    <x:row r="60" ht="27" customHeight="1">
      <x:c r="A60" s="8" t="n">
        <x:v>46301</x:v>
      </x:c>
      <x:c r="B60" s="2" t="str">
        <x:v>Teradyne</x:v>
      </x:c>
      <x:c r="C60" s="2" t="str">
        <x:v>TER</x:v>
      </x:c>
      <x:c r="D60" s="8" t="n">
        <x:v>46301</x:v>
      </x:c>
      <x:c r="E60" s="17" t="n">
        <x:f>'Source Audit'!E60</x:f>
        <x:v>0</x:v>
      </x:c>
      <x:c r="F60" s="38" t="n">
        <x:f>'Source Audit'!F60</x:f>
        <x:v>1</x:v>
      </x:c>
      <x:c r="G60" s="11" t="str">
        <x:f>IF(AND(E60=0,F60=1,'Source Audit'!G60='Source Audit'!H60),"No provider flag","Review required")</x:f>
        <x:v>No provider flag</x:v>
      </x:c>
      <x:c r="H60" s="2" t="str">
        <x:v>No continuity adjustment</x:v>
      </x:c>
    </x:row>
    <x:row r="61" ht="27" customHeight="1">
      <x:c r="A61" s="9" t="n">
        <x:v>46301</x:v>
      </x:c>
      <x:c r="B61" s="10" t="str">
        <x:v>Nabtesco</x:v>
      </x:c>
      <x:c r="C61" s="10" t="str">
        <x:v>6268</x:v>
      </x:c>
      <x:c r="D61" s="9" t="n">
        <x:v>46301</x:v>
      </x:c>
      <x:c r="E61" s="16" t="n">
        <x:f>'Source Audit'!E61</x:f>
        <x:v>0</x:v>
      </x:c>
      <x:c r="F61" s="39" t="n">
        <x:f>'Source Audit'!F61</x:f>
        <x:v>1</x:v>
      </x:c>
      <x:c r="G61" s="12" t="str">
        <x:f>IF(AND(E61=0,F61=1,'Source Audit'!G61='Source Audit'!H61),"No provider flag","Review required")</x:f>
        <x:v>No provider flag</x:v>
      </x:c>
      <x:c r="H61" s="10" t="str">
        <x:v>No continuity adjustment</x:v>
      </x:c>
    </x:row>
    <x:row r="62" ht="27" customHeight="1">
      <x:c r="A62" s="8" t="n">
        <x:v>46301</x:v>
      </x:c>
      <x:c r="B62" s="2" t="str">
        <x:v>Inovance</x:v>
      </x:c>
      <x:c r="C62" s="2" t="str">
        <x:v>300124</x:v>
      </x:c>
      <x:c r="D62" s="8" t="n">
        <x:v>46295</x:v>
      </x:c>
      <x:c r="E62" s="17" t="n">
        <x:f>'Source Audit'!E62</x:f>
        <x:v>0</x:v>
      </x:c>
      <x:c r="F62" s="38" t="n">
        <x:f>'Source Audit'!F62</x:f>
        <x:v>1</x:v>
      </x:c>
      <x:c r="G62" s="11" t="str">
        <x:f>IF(AND(E62=0,F62=1,'Source Audit'!G62='Source Audit'!H62),"No provider flag","Review required")</x:f>
        <x:v>No provider flag</x:v>
      </x:c>
      <x:c r="H62" s="2" t="str">
        <x:v>No continuity adjustment</x:v>
      </x:c>
    </x:row>
    <x:row r="63" ht="27" customHeight="1">
      <x:c r="A63" s="9" t="n">
        <x:v>46301</x:v>
      </x:c>
      <x:c r="B63" s="10" t="str">
        <x:v>Keyence</x:v>
      </x:c>
      <x:c r="C63" s="10" t="str">
        <x:v>6861</x:v>
      </x:c>
      <x:c r="D63" s="9" t="n">
        <x:v>46301</x:v>
      </x:c>
      <x:c r="E63" s="16" t="n">
        <x:f>'Source Audit'!E63</x:f>
        <x:v>0</x:v>
      </x:c>
      <x:c r="F63" s="39" t="n">
        <x:f>'Source Audit'!F63</x:f>
        <x:v>1</x:v>
      </x:c>
      <x:c r="G63" s="12" t="str">
        <x:f>IF(AND(E63=0,F63=1,'Source Audit'!G63='Source Audit'!H63),"No provider flag","Review required")</x:f>
        <x:v>No provider flag</x:v>
      </x:c>
      <x:c r="H63" s="10" t="str">
        <x:v>No continuity adjustment</x:v>
      </x:c>
    </x:row>
    <x:row r="64" ht="27" customHeight="1">
      <x:c r="A64" s="8" t="n">
        <x:v>46301</x:v>
      </x:c>
      <x:c r="B64" s="2" t="str">
        <x:v>Cognex</x:v>
      </x:c>
      <x:c r="C64" s="2" t="str">
        <x:v>CGNX</x:v>
      </x:c>
      <x:c r="D64" s="8" t="n">
        <x:v>46301</x:v>
      </x:c>
      <x:c r="E64" s="17" t="n">
        <x:f>'Source Audit'!E64</x:f>
        <x:v>0</x:v>
      </x:c>
      <x:c r="F64" s="38" t="n">
        <x:f>'Source Audit'!F64</x:f>
        <x:v>1</x:v>
      </x:c>
      <x:c r="G64" s="11" t="str">
        <x:f>IF(AND(E64=0,F64=1,'Source Audit'!G64='Source Audit'!H64),"No provider flag","Review required")</x:f>
        <x:v>No provider flag</x:v>
      </x:c>
      <x:c r="H64" s="2" t="str">
        <x:v>No continuity adjustment</x:v>
      </x:c>
    </x:row>
    <x:row r="65" ht="27" customHeight="1">
      <x:c r="A65" s="9" t="n">
        <x:v>46301</x:v>
      </x:c>
      <x:c r="B65" s="10" t="str">
        <x:v>Ouster</x:v>
      </x:c>
      <x:c r="C65" s="10" t="str">
        <x:v>OUST</x:v>
      </x:c>
      <x:c r="D65" s="9" t="n">
        <x:v>46301</x:v>
      </x:c>
      <x:c r="E65" s="16" t="n">
        <x:f>'Source Audit'!E65</x:f>
        <x:v>0</x:v>
      </x:c>
      <x:c r="F65" s="39" t="n">
        <x:f>'Source Audit'!F65</x:f>
        <x:v>1</x:v>
      </x:c>
      <x:c r="G65" s="12" t="str">
        <x:f>IF(AND(E65=0,F65=1,'Source Audit'!G65='Source Audit'!H65),"No provider flag","Review required")</x:f>
        <x:v>No provider flag</x:v>
      </x:c>
      <x:c r="H65" s="10" t="str">
        <x:v>No continuity adjustment</x:v>
      </x:c>
    </x:row>
    <x:row r="66" ht="27" customHeight="1">
      <x:c r="A66" s="8" t="n">
        <x:v>46301</x:v>
      </x:c>
      <x:c r="B66" s="2" t="str">
        <x:v>Hesai</x:v>
      </x:c>
      <x:c r="C66" s="2" t="str">
        <x:v>HSAI</x:v>
      </x:c>
      <x:c r="D66" s="8" t="n">
        <x:v>46301</x:v>
      </x:c>
      <x:c r="E66" s="17" t="n">
        <x:f>'Source Audit'!E66</x:f>
        <x:v>0</x:v>
      </x:c>
      <x:c r="F66" s="38" t="n">
        <x:f>'Source Audit'!F66</x:f>
        <x:v>1</x:v>
      </x:c>
      <x:c r="G66" s="11" t="str">
        <x:f>IF(AND(E66=0,F66=1,'Source Audit'!G66='Source Audit'!H66),"No provider flag","Review required")</x:f>
        <x:v>No provider flag</x:v>
      </x:c>
      <x:c r="H66" s="2" t="str">
        <x:v>No continuity adjustment</x:v>
      </x:c>
    </x:row>
    <x:row r="67" ht="27" customHeight="1">
      <x:c r="A67" s="9" t="n">
        <x:v>46301</x:v>
      </x:c>
      <x:c r="B67" s="10" t="str">
        <x:v>Rockwell Automation</x:v>
      </x:c>
      <x:c r="C67" s="10" t="str">
        <x:v>ROK</x:v>
      </x:c>
      <x:c r="D67" s="9" t="n">
        <x:v>46301</x:v>
      </x:c>
      <x:c r="E67" s="16" t="n">
        <x:f>'Source Audit'!E67</x:f>
        <x:v>0</x:v>
      </x:c>
      <x:c r="F67" s="39" t="n">
        <x:f>'Source Audit'!F67</x:f>
        <x:v>1</x:v>
      </x:c>
      <x:c r="G67" s="12" t="str">
        <x:f>IF(AND(E67=0,F67=1,'Source Audit'!G67='Source Audit'!H67),"No provider flag","Review required")</x:f>
        <x:v>No provider flag</x:v>
      </x:c>
      <x:c r="H67" s="10" t="str">
        <x:v>No continuity adjustment</x:v>
      </x:c>
    </x:row>
    <x:row r="68" ht="27" customHeight="1">
      <x:c r="A68" s="8" t="n">
        <x:v>46301</x:v>
      </x:c>
      <x:c r="B68" s="2" t="str">
        <x:v>Siemens</x:v>
      </x:c>
      <x:c r="C68" s="2" t="str">
        <x:v>SIE</x:v>
      </x:c>
      <x:c r="D68" s="8" t="n">
        <x:v>46301</x:v>
      </x:c>
      <x:c r="E68" s="17" t="n">
        <x:f>'Source Audit'!E68</x:f>
        <x:v>0</x:v>
      </x:c>
      <x:c r="F68" s="38" t="n">
        <x:f>'Source Audit'!F68</x:f>
        <x:v>1</x:v>
      </x:c>
      <x:c r="G68" s="11" t="str">
        <x:f>IF(AND(E68=0,F68=1,'Source Audit'!G68='Source Audit'!H68),"No provider flag","Review required")</x:f>
        <x:v>No provider flag</x:v>
      </x:c>
      <x:c r="H68" s="2" t="str">
        <x:v>No continuity adjustment</x:v>
      </x:c>
    </x:row>
    <x:row r="69" ht="27" customHeight="1">
      <x:c r="A69" s="9" t="n">
        <x:v>46301</x:v>
      </x:c>
      <x:c r="B69" s="10" t="str">
        <x:v>NXP Semiconductors</x:v>
      </x:c>
      <x:c r="C69" s="10" t="str">
        <x:v>NXPI</x:v>
      </x:c>
      <x:c r="D69" s="9" t="n">
        <x:v>46301</x:v>
      </x:c>
      <x:c r="E69" s="16" t="n">
        <x:f>'Source Audit'!E69</x:f>
        <x:v>0</x:v>
      </x:c>
      <x:c r="F69" s="39" t="n">
        <x:f>'Source Audit'!F69</x:f>
        <x:v>1</x:v>
      </x:c>
      <x:c r="G69" s="12" t="str">
        <x:f>IF(AND(E69=0,F69=1,'Source Audit'!G69='Source Audit'!H69),"No provider flag","Review required")</x:f>
        <x:v>No provider flag</x:v>
      </x:c>
      <x:c r="H69" s="10" t="str">
        <x:v>No continuity adjustment</x:v>
      </x:c>
    </x:row>
    <x:row r="70" ht="27" customHeight="1">
      <x:c r="A70" s="8" t="n">
        <x:v>46301</x:v>
      </x:c>
      <x:c r="B70" s="2" t="str">
        <x:v>Daifuku</x:v>
      </x:c>
      <x:c r="C70" s="2" t="str">
        <x:v>6383</x:v>
      </x:c>
      <x:c r="D70" s="8" t="n">
        <x:v>46301</x:v>
      </x:c>
      <x:c r="E70" s="17" t="n">
        <x:f>'Source Audit'!E70</x:f>
        <x:v>0</x:v>
      </x:c>
      <x:c r="F70" s="38" t="n">
        <x:f>'Source Audit'!F70</x:f>
        <x:v>1</x:v>
      </x:c>
      <x:c r="G70" s="11" t="str">
        <x:f>IF(AND(E70=0,F70=1,'Source Audit'!G70='Source Audit'!H70),"No provider flag","Review required")</x:f>
        <x:v>No provider flag</x:v>
      </x:c>
      <x:c r="H70" s="2" t="str">
        <x:v>No continuity adjustment</x:v>
      </x:c>
    </x:row>
    <x:row r="71" ht="27" customHeight="1">
      <x:c r="A71" s="9" t="n">
        <x:v>46301</x:v>
      </x:c>
      <x:c r="B71" s="10" t="str">
        <x:v>Hexagon</x:v>
      </x:c>
      <x:c r="C71" s="10" t="str">
        <x:v>HEXA B</x:v>
      </x:c>
      <x:c r="D71" s="9" t="n">
        <x:v>46301</x:v>
      </x:c>
      <x:c r="E71" s="16" t="n">
        <x:f>'Source Audit'!E71</x:f>
        <x:v>0</x:v>
      </x:c>
      <x:c r="F71" s="39" t="n">
        <x:f>'Source Audit'!F71</x:f>
        <x:v>1</x:v>
      </x:c>
      <x:c r="G71" s="12" t="str">
        <x:f>IF(AND(E71=0,F71=1,'Source Audit'!G71='Source Audit'!H71),"No provider flag","Review required")</x:f>
        <x:v>No provider flag</x:v>
      </x:c>
      <x:c r="H71" s="10" t="str">
        <x:v>No continuity adjustment</x:v>
      </x:c>
    </x:row>
    <x:row r="72" ht="27" customHeight="1">
      <x:c r="A72" s="8" t="n">
        <x:v>46301</x:v>
      </x:c>
      <x:c r="B72" s="2" t="str">
        <x:v>S&amp;P 500</x:v>
      </x:c>
      <x:c r="C72" s="2" t="str">
        <x:v>S&amp;P 500</x:v>
      </x:c>
      <x:c r="D72" s="8" t="n">
        <x:v>46301</x:v>
      </x:c>
      <x:c r="E72" s="17" t="n">
        <x:f>'Source Audit'!E72</x:f>
        <x:v>0</x:v>
      </x:c>
      <x:c r="F72" s="38" t="n">
        <x:f>'Source Audit'!F72</x:f>
        <x:v>1</x:v>
      </x:c>
      <x:c r="G72" s="11" t="str">
        <x:f>IF(AND(E72=0,F72=1,'Source Audit'!G72='Source Audit'!H72),"No provider flag","Review required")</x:f>
        <x:v>No provider flag</x:v>
      </x:c>
      <x:c r="H72" s="2" t="str">
        <x:v>No continuity adjustment</x:v>
      </x:c>
    </x:row>
    <x:row r="73" ht="27" customHeight="1">
      <x:c r="A73" s="9" t="n">
        <x:v>46301</x:v>
      </x:c>
      <x:c r="B73" s="10" t="str">
        <x:v>Nasdaq Composite</x:v>
      </x:c>
      <x:c r="C73" s="10" t="str">
        <x:v>Nasdaq Composite</x:v>
      </x:c>
      <x:c r="D73" s="9" t="n">
        <x:v>46301</x:v>
      </x:c>
      <x:c r="E73" s="16" t="n">
        <x:f>'Source Audit'!E73</x:f>
        <x:v>0</x:v>
      </x:c>
      <x:c r="F73" s="39" t="n">
        <x:f>'Source Audit'!F73</x:f>
        <x:v>1</x:v>
      </x:c>
      <x:c r="G73" s="12" t="str">
        <x:f>IF(AND(E73=0,F73=1,'Source Audit'!G73='Source Audit'!H73),"No provider flag","Review required")</x:f>
        <x:v>No provider flag</x:v>
      </x:c>
      <x:c r="H73" s="10" t="str">
        <x:v>No continuity adjustment</x:v>
      </x:c>
    </x:row>
    <x:row r="74" ht="27" customHeight="1">
      <x:c r="A74" s="8" t="n">
        <x:v>46302</x:v>
      </x:c>
      <x:c r="B74" s="2" t="str">
        <x:v>FANUC</x:v>
      </x:c>
      <x:c r="C74" s="2" t="str">
        <x:v>6954</x:v>
      </x:c>
      <x:c r="D74" s="8" t="n">
        <x:v>46302</x:v>
      </x:c>
      <x:c r="E74" s="17" t="n">
        <x:f>'Source Audit'!E74</x:f>
        <x:v>0</x:v>
      </x:c>
      <x:c r="F74" s="38" t="n">
        <x:f>'Source Audit'!F74</x:f>
        <x:v>1</x:v>
      </x:c>
      <x:c r="G74" s="11" t="str">
        <x:f>IF(AND(E74=0,F74=1,'Source Audit'!G74='Source Audit'!H74),"No provider flag","Review required")</x:f>
        <x:v>No provider flag</x:v>
      </x:c>
      <x:c r="H74" s="2" t="str">
        <x:v>No continuity adjustment</x:v>
      </x:c>
    </x:row>
    <x:row r="75" ht="27" customHeight="1">
      <x:c r="A75" s="9" t="n">
        <x:v>46302</x:v>
      </x:c>
      <x:c r="B75" s="10" t="str">
        <x:v>Yaskawa Electric</x:v>
      </x:c>
      <x:c r="C75" s="10" t="str">
        <x:v>6506</x:v>
      </x:c>
      <x:c r="D75" s="9" t="n">
        <x:v>46302</x:v>
      </x:c>
      <x:c r="E75" s="16" t="n">
        <x:f>'Source Audit'!E75</x:f>
        <x:v>0</x:v>
      </x:c>
      <x:c r="F75" s="39" t="n">
        <x:f>'Source Audit'!F75</x:f>
        <x:v>1</x:v>
      </x:c>
      <x:c r="G75" s="12" t="str">
        <x:f>IF(AND(E75=0,F75=1,'Source Audit'!G75='Source Audit'!H75),"No provider flag","Review required")</x:f>
        <x:v>No provider flag</x:v>
      </x:c>
      <x:c r="H75" s="10" t="str">
        <x:v>No continuity adjustment</x:v>
      </x:c>
    </x:row>
    <x:row r="76" ht="27" customHeight="1">
      <x:c r="A76" s="8" t="n">
        <x:v>46302</x:v>
      </x:c>
      <x:c r="B76" s="2" t="str">
        <x:v>Estun Automation</x:v>
      </x:c>
      <x:c r="C76" s="13" t="str">
        <x:v>002747</x:v>
      </x:c>
      <x:c r="D76" s="8" t="n">
        <x:v>46295</x:v>
      </x:c>
      <x:c r="E76" s="17" t="n">
        <x:f>'Source Audit'!E76</x:f>
        <x:v>0</x:v>
      </x:c>
      <x:c r="F76" s="38" t="n">
        <x:f>'Source Audit'!F76</x:f>
        <x:v>1</x:v>
      </x:c>
      <x:c r="G76" s="11" t="str">
        <x:f>IF(AND(E76=0,F76=1,'Source Audit'!G76='Source Audit'!H76),"No provider flag","Review required")</x:f>
        <x:v>No provider flag</x:v>
      </x:c>
      <x:c r="H76" s="2" t="str">
        <x:v>No continuity adjustment</x:v>
      </x:c>
    </x:row>
    <x:row r="77" ht="27" customHeight="1">
      <x:c r="A77" s="9" t="n">
        <x:v>46302</x:v>
      </x:c>
      <x:c r="B77" s="10" t="str">
        <x:v>Teradyne</x:v>
      </x:c>
      <x:c r="C77" s="10" t="str">
        <x:v>TER</x:v>
      </x:c>
      <x:c r="D77" s="9" t="n">
        <x:v>46302</x:v>
      </x:c>
      <x:c r="E77" s="16" t="n">
        <x:f>'Source Audit'!E77</x:f>
        <x:v>0</x:v>
      </x:c>
      <x:c r="F77" s="39" t="n">
        <x:f>'Source Audit'!F77</x:f>
        <x:v>1</x:v>
      </x:c>
      <x:c r="G77" s="12" t="str">
        <x:f>IF(AND(E77=0,F77=1,'Source Audit'!G77='Source Audit'!H77),"No provider flag","Review required")</x:f>
        <x:v>No provider flag</x:v>
      </x:c>
      <x:c r="H77" s="10" t="str">
        <x:v>No continuity adjustment</x:v>
      </x:c>
    </x:row>
    <x:row r="78" ht="27" customHeight="1">
      <x:c r="A78" s="8" t="n">
        <x:v>46302</x:v>
      </x:c>
      <x:c r="B78" s="2" t="str">
        <x:v>Nabtesco</x:v>
      </x:c>
      <x:c r="C78" s="2" t="str">
        <x:v>6268</x:v>
      </x:c>
      <x:c r="D78" s="8" t="n">
        <x:v>46302</x:v>
      </x:c>
      <x:c r="E78" s="17" t="n">
        <x:f>'Source Audit'!E78</x:f>
        <x:v>0</x:v>
      </x:c>
      <x:c r="F78" s="38" t="n">
        <x:f>'Source Audit'!F78</x:f>
        <x:v>1</x:v>
      </x:c>
      <x:c r="G78" s="11" t="str">
        <x:f>IF(AND(E78=0,F78=1,'Source Audit'!G78='Source Audit'!H78),"No provider flag","Review required")</x:f>
        <x:v>No provider flag</x:v>
      </x:c>
      <x:c r="H78" s="2" t="str">
        <x:v>No continuity adjustment</x:v>
      </x:c>
    </x:row>
    <x:row r="79" ht="27" customHeight="1">
      <x:c r="A79" s="9" t="n">
        <x:v>46302</x:v>
      </x:c>
      <x:c r="B79" s="10" t="str">
        <x:v>Inovance</x:v>
      </x:c>
      <x:c r="C79" s="10" t="str">
        <x:v>300124</x:v>
      </x:c>
      <x:c r="D79" s="9" t="n">
        <x:v>46295</x:v>
      </x:c>
      <x:c r="E79" s="16" t="n">
        <x:f>'Source Audit'!E79</x:f>
        <x:v>0</x:v>
      </x:c>
      <x:c r="F79" s="39" t="n">
        <x:f>'Source Audit'!F79</x:f>
        <x:v>1</x:v>
      </x:c>
      <x:c r="G79" s="12" t="str">
        <x:f>IF(AND(E79=0,F79=1,'Source Audit'!G79='Source Audit'!H79),"No provider flag","Review required")</x:f>
        <x:v>No provider flag</x:v>
      </x:c>
      <x:c r="H79" s="10" t="str">
        <x:v>No continuity adjustment</x:v>
      </x:c>
    </x:row>
    <x:row r="80" ht="27" customHeight="1">
      <x:c r="A80" s="8" t="n">
        <x:v>46302</x:v>
      </x:c>
      <x:c r="B80" s="2" t="str">
        <x:v>Keyence</x:v>
      </x:c>
      <x:c r="C80" s="2" t="str">
        <x:v>6861</x:v>
      </x:c>
      <x:c r="D80" s="8" t="n">
        <x:v>46302</x:v>
      </x:c>
      <x:c r="E80" s="17" t="n">
        <x:f>'Source Audit'!E80</x:f>
        <x:v>0</x:v>
      </x:c>
      <x:c r="F80" s="38" t="n">
        <x:f>'Source Audit'!F80</x:f>
        <x:v>1</x:v>
      </x:c>
      <x:c r="G80" s="11" t="str">
        <x:f>IF(AND(E80=0,F80=1,'Source Audit'!G80='Source Audit'!H80),"No provider flag","Review required")</x:f>
        <x:v>No provider flag</x:v>
      </x:c>
      <x:c r="H80" s="2" t="str">
        <x:v>No continuity adjustment</x:v>
      </x:c>
    </x:row>
    <x:row r="81" ht="27" customHeight="1">
      <x:c r="A81" s="9" t="n">
        <x:v>46302</x:v>
      </x:c>
      <x:c r="B81" s="10" t="str">
        <x:v>Cognex</x:v>
      </x:c>
      <x:c r="C81" s="10" t="str">
        <x:v>CGNX</x:v>
      </x:c>
      <x:c r="D81" s="9" t="n">
        <x:v>46302</x:v>
      </x:c>
      <x:c r="E81" s="16" t="n">
        <x:f>'Source Audit'!E81</x:f>
        <x:v>0</x:v>
      </x:c>
      <x:c r="F81" s="39" t="n">
        <x:f>'Source Audit'!F81</x:f>
        <x:v>1</x:v>
      </x:c>
      <x:c r="G81" s="12" t="str">
        <x:f>IF(AND(E81=0,F81=1,'Source Audit'!G81='Source Audit'!H81),"No provider flag","Review required")</x:f>
        <x:v>No provider flag</x:v>
      </x:c>
      <x:c r="H81" s="10" t="str">
        <x:v>No continuity adjustment</x:v>
      </x:c>
    </x:row>
    <x:row r="82" ht="27" customHeight="1">
      <x:c r="A82" s="8" t="n">
        <x:v>46302</x:v>
      </x:c>
      <x:c r="B82" s="2" t="str">
        <x:v>Ouster</x:v>
      </x:c>
      <x:c r="C82" s="2" t="str">
        <x:v>OUST</x:v>
      </x:c>
      <x:c r="D82" s="8" t="n">
        <x:v>46302</x:v>
      </x:c>
      <x:c r="E82" s="17" t="n">
        <x:f>'Source Audit'!E82</x:f>
        <x:v>0</x:v>
      </x:c>
      <x:c r="F82" s="38" t="n">
        <x:f>'Source Audit'!F82</x:f>
        <x:v>1</x:v>
      </x:c>
      <x:c r="G82" s="11" t="str">
        <x:f>IF(AND(E82=0,F82=1,'Source Audit'!G82='Source Audit'!H82),"No provider flag","Review required")</x:f>
        <x:v>No provider flag</x:v>
      </x:c>
      <x:c r="H82" s="2" t="str">
        <x:v>No continuity adjustment</x:v>
      </x:c>
    </x:row>
    <x:row r="83" ht="27" customHeight="1">
      <x:c r="A83" s="9" t="n">
        <x:v>46302</x:v>
      </x:c>
      <x:c r="B83" s="10" t="str">
        <x:v>Hesai</x:v>
      </x:c>
      <x:c r="C83" s="10" t="str">
        <x:v>HSAI</x:v>
      </x:c>
      <x:c r="D83" s="9" t="n">
        <x:v>46302</x:v>
      </x:c>
      <x:c r="E83" s="16" t="n">
        <x:f>'Source Audit'!E83</x:f>
        <x:v>0</x:v>
      </x:c>
      <x:c r="F83" s="39" t="n">
        <x:f>'Source Audit'!F83</x:f>
        <x:v>1</x:v>
      </x:c>
      <x:c r="G83" s="12" t="str">
        <x:f>IF(AND(E83=0,F83=1,'Source Audit'!G83='Source Audit'!H83),"No provider flag","Review required")</x:f>
        <x:v>No provider flag</x:v>
      </x:c>
      <x:c r="H83" s="10" t="str">
        <x:v>No continuity adjustment</x:v>
      </x:c>
    </x:row>
    <x:row r="84" ht="27" customHeight="1">
      <x:c r="A84" s="8" t="n">
        <x:v>46302</x:v>
      </x:c>
      <x:c r="B84" s="2" t="str">
        <x:v>Rockwell Automation</x:v>
      </x:c>
      <x:c r="C84" s="2" t="str">
        <x:v>ROK</x:v>
      </x:c>
      <x:c r="D84" s="8" t="n">
        <x:v>46302</x:v>
      </x:c>
      <x:c r="E84" s="17" t="n">
        <x:f>'Source Audit'!E84</x:f>
        <x:v>0</x:v>
      </x:c>
      <x:c r="F84" s="38" t="n">
        <x:f>'Source Audit'!F84</x:f>
        <x:v>1</x:v>
      </x:c>
      <x:c r="G84" s="11" t="str">
        <x:f>IF(AND(E84=0,F84=1,'Source Audit'!G84='Source Audit'!H84),"No provider flag","Review required")</x:f>
        <x:v>No provider flag</x:v>
      </x:c>
      <x:c r="H84" s="2" t="str">
        <x:v>No continuity adjustment</x:v>
      </x:c>
    </x:row>
    <x:row r="85" ht="27" customHeight="1">
      <x:c r="A85" s="9" t="n">
        <x:v>46302</x:v>
      </x:c>
      <x:c r="B85" s="10" t="str">
        <x:v>Siemens</x:v>
      </x:c>
      <x:c r="C85" s="10" t="str">
        <x:v>SIE</x:v>
      </x:c>
      <x:c r="D85" s="9" t="n">
        <x:v>46302</x:v>
      </x:c>
      <x:c r="E85" s="16" t="n">
        <x:f>'Source Audit'!E85</x:f>
        <x:v>0</x:v>
      </x:c>
      <x:c r="F85" s="39" t="n">
        <x:f>'Source Audit'!F85</x:f>
        <x:v>1</x:v>
      </x:c>
      <x:c r="G85" s="12" t="str">
        <x:f>IF(AND(E85=0,F85=1,'Source Audit'!G85='Source Audit'!H85),"No provider flag","Review required")</x:f>
        <x:v>No provider flag</x:v>
      </x:c>
      <x:c r="H85" s="10" t="str">
        <x:v>No continuity adjustment</x:v>
      </x:c>
    </x:row>
    <x:row r="86" ht="27" customHeight="1">
      <x:c r="A86" s="8" t="n">
        <x:v>46302</x:v>
      </x:c>
      <x:c r="B86" s="2" t="str">
        <x:v>NXP Semiconductors</x:v>
      </x:c>
      <x:c r="C86" s="2" t="str">
        <x:v>NXPI</x:v>
      </x:c>
      <x:c r="D86" s="8" t="n">
        <x:v>46302</x:v>
      </x:c>
      <x:c r="E86" s="17" t="n">
        <x:f>'Source Audit'!E86</x:f>
        <x:v>0</x:v>
      </x:c>
      <x:c r="F86" s="38" t="n">
        <x:f>'Source Audit'!F86</x:f>
        <x:v>1</x:v>
      </x:c>
      <x:c r="G86" s="11" t="str">
        <x:f>IF(AND(E86=0,F86=1,'Source Audit'!G86='Source Audit'!H86),"No provider flag","Review required")</x:f>
        <x:v>No provider flag</x:v>
      </x:c>
      <x:c r="H86" s="2" t="str">
        <x:v>No continuity adjustment</x:v>
      </x:c>
    </x:row>
    <x:row r="87" ht="27" customHeight="1">
      <x:c r="A87" s="9" t="n">
        <x:v>46302</x:v>
      </x:c>
      <x:c r="B87" s="10" t="str">
        <x:v>Daifuku</x:v>
      </x:c>
      <x:c r="C87" s="10" t="str">
        <x:v>6383</x:v>
      </x:c>
      <x:c r="D87" s="9" t="n">
        <x:v>46302</x:v>
      </x:c>
      <x:c r="E87" s="16" t="n">
        <x:f>'Source Audit'!E87</x:f>
        <x:v>0</x:v>
      </x:c>
      <x:c r="F87" s="39" t="n">
        <x:f>'Source Audit'!F87</x:f>
        <x:v>1</x:v>
      </x:c>
      <x:c r="G87" s="12" t="str">
        <x:f>IF(AND(E87=0,F87=1,'Source Audit'!G87='Source Audit'!H87),"No provider flag","Review required")</x:f>
        <x:v>No provider flag</x:v>
      </x:c>
      <x:c r="H87" s="10" t="str">
        <x:v>No continuity adjustment</x:v>
      </x:c>
    </x:row>
    <x:row r="88" ht="27" customHeight="1">
      <x:c r="A88" s="8" t="n">
        <x:v>46302</x:v>
      </x:c>
      <x:c r="B88" s="2" t="str">
        <x:v>Hexagon</x:v>
      </x:c>
      <x:c r="C88" s="2" t="str">
        <x:v>HEXA B</x:v>
      </x:c>
      <x:c r="D88" s="8" t="n">
        <x:v>46302</x:v>
      </x:c>
      <x:c r="E88" s="17" t="n">
        <x:f>'Source Audit'!E88</x:f>
        <x:v>0</x:v>
      </x:c>
      <x:c r="F88" s="38" t="n">
        <x:f>'Source Audit'!F88</x:f>
        <x:v>1</x:v>
      </x:c>
      <x:c r="G88" s="11" t="str">
        <x:f>IF(AND(E88=0,F88=1,'Source Audit'!G88='Source Audit'!H88),"No provider flag","Review required")</x:f>
        <x:v>No provider flag</x:v>
      </x:c>
      <x:c r="H88" s="2" t="str">
        <x:v>No continuity adjustment</x:v>
      </x:c>
    </x:row>
    <x:row r="89" ht="27" customHeight="1">
      <x:c r="A89" s="9" t="n">
        <x:v>46302</x:v>
      </x:c>
      <x:c r="B89" s="10" t="str">
        <x:v>S&amp;P 500</x:v>
      </x:c>
      <x:c r="C89" s="10" t="str">
        <x:v>S&amp;P 500</x:v>
      </x:c>
      <x:c r="D89" s="9" t="n">
        <x:v>46302</x:v>
      </x:c>
      <x:c r="E89" s="16" t="n">
        <x:f>'Source Audit'!E89</x:f>
        <x:v>0</x:v>
      </x:c>
      <x:c r="F89" s="39" t="n">
        <x:f>'Source Audit'!F89</x:f>
        <x:v>1</x:v>
      </x:c>
      <x:c r="G89" s="12" t="str">
        <x:f>IF(AND(E89=0,F89=1,'Source Audit'!G89='Source Audit'!H89),"No provider flag","Review required")</x:f>
        <x:v>No provider flag</x:v>
      </x:c>
      <x:c r="H89" s="10" t="str">
        <x:v>No continuity adjustment</x:v>
      </x:c>
    </x:row>
    <x:row r="90" ht="27" customHeight="1">
      <x:c r="A90" s="8" t="n">
        <x:v>46302</x:v>
      </x:c>
      <x:c r="B90" s="2" t="str">
        <x:v>Nasdaq Composite</x:v>
      </x:c>
      <x:c r="C90" s="2" t="str">
        <x:v>Nasdaq Composite</x:v>
      </x:c>
      <x:c r="D90" s="8" t="n">
        <x:v>46302</x:v>
      </x:c>
      <x:c r="E90" s="17" t="n">
        <x:f>'Source Audit'!E90</x:f>
        <x:v>0</x:v>
      </x:c>
      <x:c r="F90" s="38" t="n">
        <x:f>'Source Audit'!F90</x:f>
        <x:v>1</x:v>
      </x:c>
      <x:c r="G90" s="11" t="str">
        <x:f>IF(AND(E90=0,F90=1,'Source Audit'!G90='Source Audit'!H90),"No provider flag","Review required")</x:f>
        <x:v>No provider flag</x:v>
      </x:c>
      <x:c r="H90" s="2" t="str">
        <x:v>No continuity adjustment</x:v>
      </x:c>
    </x:row>
    <x:row r="91" ht="27" customHeight="1">
      <x:c r="A91" s="9" t="n">
        <x:v>46303</x:v>
      </x:c>
      <x:c r="B91" s="10" t="str">
        <x:v>FANUC</x:v>
      </x:c>
      <x:c r="C91" s="10" t="str">
        <x:v>6954</x:v>
      </x:c>
      <x:c r="D91" s="9" t="n">
        <x:v>46303</x:v>
      </x:c>
      <x:c r="E91" s="16" t="n">
        <x:f>'Source Audit'!E91</x:f>
        <x:v>0</x:v>
      </x:c>
      <x:c r="F91" s="39" t="n">
        <x:f>'Source Audit'!F91</x:f>
        <x:v>1</x:v>
      </x:c>
      <x:c r="G91" s="12" t="str">
        <x:f>IF(AND(E91=0,F91=1,'Source Audit'!G91='Source Audit'!H91),"No provider flag","Review required")</x:f>
        <x:v>No provider flag</x:v>
      </x:c>
      <x:c r="H91" s="10" t="str">
        <x:v>No continuity adjustment</x:v>
      </x:c>
    </x:row>
    <x:row r="92" ht="27" customHeight="1">
      <x:c r="A92" s="8" t="n">
        <x:v>46303</x:v>
      </x:c>
      <x:c r="B92" s="2" t="str">
        <x:v>Yaskawa Electric</x:v>
      </x:c>
      <x:c r="C92" s="2" t="str">
        <x:v>6506</x:v>
      </x:c>
      <x:c r="D92" s="8" t="n">
        <x:v>46303</x:v>
      </x:c>
      <x:c r="E92" s="17" t="n">
        <x:f>'Source Audit'!E92</x:f>
        <x:v>0</x:v>
      </x:c>
      <x:c r="F92" s="38" t="n">
        <x:f>'Source Audit'!F92</x:f>
        <x:v>1</x:v>
      </x:c>
      <x:c r="G92" s="11" t="str">
        <x:f>IF(AND(E92=0,F92=1,'Source Audit'!G92='Source Audit'!H92),"No provider flag","Review required")</x:f>
        <x:v>No provider flag</x:v>
      </x:c>
      <x:c r="H92" s="2" t="str">
        <x:v>No continuity adjustment</x:v>
      </x:c>
    </x:row>
    <x:row r="93" ht="27" customHeight="1">
      <x:c r="A93" s="9" t="n">
        <x:v>46303</x:v>
      </x:c>
      <x:c r="B93" s="10" t="str">
        <x:v>Estun Automation</x:v>
      </x:c>
      <x:c r="C93" s="14" t="str">
        <x:v>002747</x:v>
      </x:c>
      <x:c r="D93" s="9" t="n">
        <x:v>46303</x:v>
      </x:c>
      <x:c r="E93" s="16" t="n">
        <x:f>'Source Audit'!E93</x:f>
        <x:v>0</x:v>
      </x:c>
      <x:c r="F93" s="39" t="n">
        <x:f>'Source Audit'!F93</x:f>
        <x:v>1</x:v>
      </x:c>
      <x:c r="G93" s="12" t="str">
        <x:f>IF(AND(E93=0,F93=1,'Source Audit'!G93='Source Audit'!H93),"No provider flag","Review required")</x:f>
        <x:v>No provider flag</x:v>
      </x:c>
      <x:c r="H93" s="10" t="str">
        <x:v>No continuity adjustment</x:v>
      </x:c>
    </x:row>
    <x:row r="94" ht="27" customHeight="1">
      <x:c r="A94" s="8" t="n">
        <x:v>46303</x:v>
      </x:c>
      <x:c r="B94" s="2" t="str">
        <x:v>Teradyne</x:v>
      </x:c>
      <x:c r="C94" s="2" t="str">
        <x:v>TER</x:v>
      </x:c>
      <x:c r="D94" s="8" t="n">
        <x:v>46303</x:v>
      </x:c>
      <x:c r="E94" s="17" t="n">
        <x:f>'Source Audit'!E94</x:f>
        <x:v>0</x:v>
      </x:c>
      <x:c r="F94" s="38" t="n">
        <x:f>'Source Audit'!F94</x:f>
        <x:v>1</x:v>
      </x:c>
      <x:c r="G94" s="11" t="str">
        <x:f>IF(AND(E94=0,F94=1,'Source Audit'!G94='Source Audit'!H94),"No provider flag","Review required")</x:f>
        <x:v>No provider flag</x:v>
      </x:c>
      <x:c r="H94" s="2" t="str">
        <x:v>No continuity adjustment</x:v>
      </x:c>
    </x:row>
    <x:row r="95" ht="27" customHeight="1">
      <x:c r="A95" s="9" t="n">
        <x:v>46303</x:v>
      </x:c>
      <x:c r="B95" s="10" t="str">
        <x:v>Nabtesco</x:v>
      </x:c>
      <x:c r="C95" s="10" t="str">
        <x:v>6268</x:v>
      </x:c>
      <x:c r="D95" s="9" t="n">
        <x:v>46303</x:v>
      </x:c>
      <x:c r="E95" s="16" t="n">
        <x:f>'Source Audit'!E95</x:f>
        <x:v>0</x:v>
      </x:c>
      <x:c r="F95" s="39" t="n">
        <x:f>'Source Audit'!F95</x:f>
        <x:v>1</x:v>
      </x:c>
      <x:c r="G95" s="12" t="str">
        <x:f>IF(AND(E95=0,F95=1,'Source Audit'!G95='Source Audit'!H95),"No provider flag","Review required")</x:f>
        <x:v>No provider flag</x:v>
      </x:c>
      <x:c r="H95" s="10" t="str">
        <x:v>No continuity adjustment</x:v>
      </x:c>
    </x:row>
    <x:row r="96" ht="27" customHeight="1">
      <x:c r="A96" s="8" t="n">
        <x:v>46303</x:v>
      </x:c>
      <x:c r="B96" s="2" t="str">
        <x:v>Inovance</x:v>
      </x:c>
      <x:c r="C96" s="2" t="str">
        <x:v>300124</x:v>
      </x:c>
      <x:c r="D96" s="8" t="n">
        <x:v>46303</x:v>
      </x:c>
      <x:c r="E96" s="17" t="n">
        <x:f>'Source Audit'!E96</x:f>
        <x:v>0</x:v>
      </x:c>
      <x:c r="F96" s="38" t="n">
        <x:f>'Source Audit'!F96</x:f>
        <x:v>1</x:v>
      </x:c>
      <x:c r="G96" s="11" t="str">
        <x:f>IF(AND(E96=0,F96=1,'Source Audit'!G96='Source Audit'!H96),"No provider flag","Review required")</x:f>
        <x:v>No provider flag</x:v>
      </x:c>
      <x:c r="H96" s="2" t="str">
        <x:v>No continuity adjustment</x:v>
      </x:c>
    </x:row>
    <x:row r="97" ht="27" customHeight="1">
      <x:c r="A97" s="9" t="n">
        <x:v>46303</x:v>
      </x:c>
      <x:c r="B97" s="10" t="str">
        <x:v>Keyence</x:v>
      </x:c>
      <x:c r="C97" s="10" t="str">
        <x:v>6861</x:v>
      </x:c>
      <x:c r="D97" s="9" t="n">
        <x:v>46303</x:v>
      </x:c>
      <x:c r="E97" s="16" t="n">
        <x:f>'Source Audit'!E97</x:f>
        <x:v>0</x:v>
      </x:c>
      <x:c r="F97" s="39" t="n">
        <x:f>'Source Audit'!F97</x:f>
        <x:v>1</x:v>
      </x:c>
      <x:c r="G97" s="12" t="str">
        <x:f>IF(AND(E97=0,F97=1,'Source Audit'!G97='Source Audit'!H97),"No provider flag","Review required")</x:f>
        <x:v>No provider flag</x:v>
      </x:c>
      <x:c r="H97" s="10" t="str">
        <x:v>No continuity adjustment</x:v>
      </x:c>
    </x:row>
    <x:row r="98" ht="27" customHeight="1">
      <x:c r="A98" s="8" t="n">
        <x:v>46303</x:v>
      </x:c>
      <x:c r="B98" s="2" t="str">
        <x:v>Cognex</x:v>
      </x:c>
      <x:c r="C98" s="2" t="str">
        <x:v>CGNX</x:v>
      </x:c>
      <x:c r="D98" s="8" t="n">
        <x:v>46303</x:v>
      </x:c>
      <x:c r="E98" s="17" t="n">
        <x:f>'Source Audit'!E98</x:f>
        <x:v>0</x:v>
      </x:c>
      <x:c r="F98" s="38" t="n">
        <x:f>'Source Audit'!F98</x:f>
        <x:v>1</x:v>
      </x:c>
      <x:c r="G98" s="11" t="str">
        <x:f>IF(AND(E98=0,F98=1,'Source Audit'!G98='Source Audit'!H98),"No provider flag","Review required")</x:f>
        <x:v>No provider flag</x:v>
      </x:c>
      <x:c r="H98" s="2" t="str">
        <x:v>No continuity adjustment</x:v>
      </x:c>
    </x:row>
    <x:row r="99" ht="27" customHeight="1">
      <x:c r="A99" s="9" t="n">
        <x:v>46303</x:v>
      </x:c>
      <x:c r="B99" s="10" t="str">
        <x:v>Ouster</x:v>
      </x:c>
      <x:c r="C99" s="10" t="str">
        <x:v>OUST</x:v>
      </x:c>
      <x:c r="D99" s="9" t="n">
        <x:v>46303</x:v>
      </x:c>
      <x:c r="E99" s="16" t="n">
        <x:f>'Source Audit'!E99</x:f>
        <x:v>0</x:v>
      </x:c>
      <x:c r="F99" s="39" t="n">
        <x:f>'Source Audit'!F99</x:f>
        <x:v>1</x:v>
      </x:c>
      <x:c r="G99" s="12" t="str">
        <x:f>IF(AND(E99=0,F99=1,'Source Audit'!G99='Source Audit'!H99),"No provider flag","Review required")</x:f>
        <x:v>No provider flag</x:v>
      </x:c>
      <x:c r="H99" s="10" t="str">
        <x:v>No continuity adjustment</x:v>
      </x:c>
    </x:row>
    <x:row r="100" ht="27" customHeight="1">
      <x:c r="A100" s="8" t="n">
        <x:v>46303</x:v>
      </x:c>
      <x:c r="B100" s="2" t="str">
        <x:v>Hesai</x:v>
      </x:c>
      <x:c r="C100" s="2" t="str">
        <x:v>HSAI</x:v>
      </x:c>
      <x:c r="D100" s="8" t="n">
        <x:v>46303</x:v>
      </x:c>
      <x:c r="E100" s="17" t="n">
        <x:f>'Source Audit'!E100</x:f>
        <x:v>0</x:v>
      </x:c>
      <x:c r="F100" s="38" t="n">
        <x:f>'Source Audit'!F100</x:f>
        <x:v>1</x:v>
      </x:c>
      <x:c r="G100" s="11" t="str">
        <x:f>IF(AND(E100=0,F100=1,'Source Audit'!G100='Source Audit'!H100),"No provider flag","Review required")</x:f>
        <x:v>No provider flag</x:v>
      </x:c>
      <x:c r="H100" s="2" t="str">
        <x:v>No continuity adjustment</x:v>
      </x:c>
    </x:row>
    <x:row r="101" ht="27" customHeight="1">
      <x:c r="A101" s="9" t="n">
        <x:v>46303</x:v>
      </x:c>
      <x:c r="B101" s="10" t="str">
        <x:v>Rockwell Automation</x:v>
      </x:c>
      <x:c r="C101" s="10" t="str">
        <x:v>ROK</x:v>
      </x:c>
      <x:c r="D101" s="9" t="n">
        <x:v>46303</x:v>
      </x:c>
      <x:c r="E101" s="16" t="n">
        <x:f>'Source Audit'!E101</x:f>
        <x:v>0</x:v>
      </x:c>
      <x:c r="F101" s="39" t="n">
        <x:f>'Source Audit'!F101</x:f>
        <x:v>1</x:v>
      </x:c>
      <x:c r="G101" s="12" t="str">
        <x:f>IF(AND(E101=0,F101=1,'Source Audit'!G101='Source Audit'!H101),"No provider flag","Review required")</x:f>
        <x:v>No provider flag</x:v>
      </x:c>
      <x:c r="H101" s="10" t="str">
        <x:v>No continuity adjustment</x:v>
      </x:c>
    </x:row>
    <x:row r="102" ht="27" customHeight="1">
      <x:c r="A102" s="8" t="n">
        <x:v>46303</x:v>
      </x:c>
      <x:c r="B102" s="2" t="str">
        <x:v>Siemens</x:v>
      </x:c>
      <x:c r="C102" s="2" t="str">
        <x:v>SIE</x:v>
      </x:c>
      <x:c r="D102" s="8" t="n">
        <x:v>46303</x:v>
      </x:c>
      <x:c r="E102" s="17" t="n">
        <x:f>'Source Audit'!E102</x:f>
        <x:v>0</x:v>
      </x:c>
      <x:c r="F102" s="38" t="n">
        <x:f>'Source Audit'!F102</x:f>
        <x:v>1</x:v>
      </x:c>
      <x:c r="G102" s="11" t="str">
        <x:f>IF(AND(E102=0,F102=1,'Source Audit'!G102='Source Audit'!H102),"No provider flag","Review required")</x:f>
        <x:v>No provider flag</x:v>
      </x:c>
      <x:c r="H102" s="2" t="str">
        <x:v>No continuity adjustment</x:v>
      </x:c>
    </x:row>
    <x:row r="103" ht="27" customHeight="1">
      <x:c r="A103" s="9" t="n">
        <x:v>46303</x:v>
      </x:c>
      <x:c r="B103" s="10" t="str">
        <x:v>NXP Semiconductors</x:v>
      </x:c>
      <x:c r="C103" s="10" t="str">
        <x:v>NXPI</x:v>
      </x:c>
      <x:c r="D103" s="9" t="n">
        <x:v>46303</x:v>
      </x:c>
      <x:c r="E103" s="16" t="n">
        <x:f>'Source Audit'!E103</x:f>
        <x:v>0</x:v>
      </x:c>
      <x:c r="F103" s="39" t="n">
        <x:f>'Source Audit'!F103</x:f>
        <x:v>1</x:v>
      </x:c>
      <x:c r="G103" s="12" t="str">
        <x:f>IF(AND(E103=0,F103=1,'Source Audit'!G103='Source Audit'!H103),"No provider flag","Review required")</x:f>
        <x:v>No provider flag</x:v>
      </x:c>
      <x:c r="H103" s="10" t="str">
        <x:v>No continuity adjustment</x:v>
      </x:c>
    </x:row>
    <x:row r="104" ht="27" customHeight="1">
      <x:c r="A104" s="8" t="n">
        <x:v>46303</x:v>
      </x:c>
      <x:c r="B104" s="2" t="str">
        <x:v>Daifuku</x:v>
      </x:c>
      <x:c r="C104" s="2" t="str">
        <x:v>6383</x:v>
      </x:c>
      <x:c r="D104" s="8" t="n">
        <x:v>46303</x:v>
      </x:c>
      <x:c r="E104" s="17" t="n">
        <x:f>'Source Audit'!E104</x:f>
        <x:v>0</x:v>
      </x:c>
      <x:c r="F104" s="38" t="n">
        <x:f>'Source Audit'!F104</x:f>
        <x:v>1</x:v>
      </x:c>
      <x:c r="G104" s="11" t="str">
        <x:f>IF(AND(E104=0,F104=1,'Source Audit'!G104='Source Audit'!H104),"No provider flag","Review required")</x:f>
        <x:v>No provider flag</x:v>
      </x:c>
      <x:c r="H104" s="2" t="str">
        <x:v>No continuity adjustment</x:v>
      </x:c>
    </x:row>
    <x:row r="105" ht="27" customHeight="1">
      <x:c r="A105" s="9" t="n">
        <x:v>46303</x:v>
      </x:c>
      <x:c r="B105" s="10" t="str">
        <x:v>Hexagon</x:v>
      </x:c>
      <x:c r="C105" s="10" t="str">
        <x:v>HEXA B</x:v>
      </x:c>
      <x:c r="D105" s="9" t="n">
        <x:v>46303</x:v>
      </x:c>
      <x:c r="E105" s="16" t="n">
        <x:f>'Source Audit'!E105</x:f>
        <x:v>0</x:v>
      </x:c>
      <x:c r="F105" s="39" t="n">
        <x:f>'Source Audit'!F105</x:f>
        <x:v>1</x:v>
      </x:c>
      <x:c r="G105" s="12" t="str">
        <x:f>IF(AND(E105=0,F105=1,'Source Audit'!G105='Source Audit'!H105),"No provider flag","Review required")</x:f>
        <x:v>No provider flag</x:v>
      </x:c>
      <x:c r="H105" s="10" t="str">
        <x:v>No continuity adjustment</x:v>
      </x:c>
    </x:row>
    <x:row r="106" ht="27" customHeight="1">
      <x:c r="A106" s="8" t="n">
        <x:v>46303</x:v>
      </x:c>
      <x:c r="B106" s="2" t="str">
        <x:v>S&amp;P 500</x:v>
      </x:c>
      <x:c r="C106" s="2" t="str">
        <x:v>S&amp;P 500</x:v>
      </x:c>
      <x:c r="D106" s="8" t="n">
        <x:v>46303</x:v>
      </x:c>
      <x:c r="E106" s="17" t="n">
        <x:f>'Source Audit'!E106</x:f>
        <x:v>0</x:v>
      </x:c>
      <x:c r="F106" s="38" t="n">
        <x:f>'Source Audit'!F106</x:f>
        <x:v>1</x:v>
      </x:c>
      <x:c r="G106" s="11" t="str">
        <x:f>IF(AND(E106=0,F106=1,'Source Audit'!G106='Source Audit'!H106),"No provider flag","Review required")</x:f>
        <x:v>No provider flag</x:v>
      </x:c>
      <x:c r="H106" s="2" t="str">
        <x:v>No continuity adjustment</x:v>
      </x:c>
    </x:row>
    <x:row r="107" ht="27" customHeight="1">
      <x:c r="A107" s="9" t="n">
        <x:v>46303</x:v>
      </x:c>
      <x:c r="B107" s="10" t="str">
        <x:v>Nasdaq Composite</x:v>
      </x:c>
      <x:c r="C107" s="10" t="str">
        <x:v>Nasdaq Composite</x:v>
      </x:c>
      <x:c r="D107" s="9" t="n">
        <x:v>46303</x:v>
      </x:c>
      <x:c r="E107" s="16" t="n">
        <x:f>'Source Audit'!E107</x:f>
        <x:v>0</x:v>
      </x:c>
      <x:c r="F107" s="39" t="n">
        <x:f>'Source Audit'!F107</x:f>
        <x:v>1</x:v>
      </x:c>
      <x:c r="G107" s="12" t="str">
        <x:f>IF(AND(E107=0,F107=1,'Source Audit'!G107='Source Audit'!H107),"No provider flag","Review required")</x:f>
        <x:v>No provider flag</x:v>
      </x:c>
      <x:c r="H107" s="10" t="str">
        <x:v>No continuity adjustment</x:v>
      </x:c>
    </x:row>
  </x:sheetData>
  <x:mergeCells>
    <x:mergeCell ref="A2:D2"/>
    <x:mergeCell ref="A3:H3"/>
  </x:mergeCells>
  <x:pageMargins left="0.7" right="0.7" top="0.75" bottom="0.75" header="0.3" footer="0.3"/>
  <x:tableParts count="1">
    <x:tablePart xmlns:r="http://schemas.openxmlformats.org/officeDocument/2006/relationships" r:id="R6cecb59157ad45b5"/>
  </x:tableParts>
</x:worksheet>
</file>