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a3f87ab11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ed6836b4884a81"/>
    <x:sheet xmlns:r="http://schemas.openxmlformats.org/officeDocument/2006/relationships" name="Prices" sheetId="2" r:id="R4083a1d2648d40aa"/>
    <x:sheet xmlns:r="http://schemas.openxmlformats.org/officeDocument/2006/relationships" name="Returns and Contributions" sheetId="3" r:id="R83bb3fca3278439f"/>
    <x:sheet xmlns:r="http://schemas.openxmlformats.org/officeDocument/2006/relationships" name="Source Audit" sheetId="4" r:id="R7461f72ebf834d65"/>
    <x:sheet xmlns:r="http://schemas.openxmlformats.org/officeDocument/2006/relationships" name="Corporate Actions" sheetId="5" r:id="Ra84706d7251448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mm/dd/yy"/>
    <x:numFmt numFmtId="201" formatCode="000000"/>
    <x:numFmt numFmtId="202" formatCode="#,##0.00;(#,##0.00);&quot;-&quot;"/>
    <x:numFmt numFmtId="203" formatCode="0.00%;(0.00%);&quot;-&quot;"/>
    <x:numFmt numFmtId="204" formatCode="0.00&quot; pp&quot;;(0.00)&quot; pp&quot;;&quot;-&quot;"/>
    <x:numFmt numFmtId="205" formatCode="0.000000000000"/>
    <x:numFmt numFmtId="206" formatCode="yyyy-mm-dd hh:mm:ss"/>
    <x:numFmt numFmtId="207" formatCode="0.0000"/>
  </x:numFmts>
  <x:fonts count="7">
    <x:font>
      <x:sz val="11"/>
      <x:name val="Carlito"/>
    </x:font>
    <x:font>
      <x:sz val="11"/>
      <x:color rgb="FF202A25"/>
      <x:name val="Arial"/>
    </x:font>
    <x:font>
      <x:b/>
      <x:sz val="18"/>
      <x:color rgb="FF202A25"/>
      <x:name val="Arial"/>
    </x:font>
    <x:font>
      <x:sz val="10"/>
      <x:color rgb="FF202A25"/>
      <x:name val="Arial"/>
    </x:font>
    <x:font>
      <x:b/>
      <x:sz val="11"/>
      <x:color rgb="FFFFFFFF"/>
      <x:name val="Arial"/>
    </x:font>
    <x:font>
      <x:sz val="11"/>
      <x:color rgb="FF23804B"/>
      <x:name val="Arial"/>
    </x:font>
    <x:font>
      <x:sz val="11"/>
      <x:color rgb="FF2456A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24D42"/>
      </x:patternFill>
    </x:fill>
    <x:fill>
      <x:patternFill patternType="solid">
        <x:fgColor rgb="FFEAF0E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5" fillId="3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6" fillId="3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7" fontId="1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 wrapText="1"/>
    </x:xf>
    <x:xf numFmtId="206" fontId="1" fillId="3" borderId="0" xfId="0" applyNumberFormat="1" applyFont="1" applyFill="1" applyBorder="1" applyAlignment="1">
      <x:alignment vertical="center" wrapText="1"/>
    </x:xf>
    <x:xf numFmtId="207" fontId="5" fillId="0" borderId="0" xfId="0" applyNumberFormat="1" applyFont="1" applyFill="1" applyBorder="1" applyAlignment="1">
      <x:alignment vertical="center"/>
    </x:xf>
    <x:xf numFmtId="207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9db0fda8e44f8d" /><Relationship Type="http://schemas.openxmlformats.org/officeDocument/2006/relationships/theme" Target="/xl/theme/theme1.xml" Id="R8d64781e00db42c6" /><Relationship Type="http://schemas.openxmlformats.org/officeDocument/2006/relationships/sharedStrings" Target="/xl/sharedStrings.xml" Id="Re5648bd9d4224032" /><Relationship Type="http://schemas.openxmlformats.org/officeDocument/2006/relationships/worksheet" Target="/xl/worksheets/sheet1.xml" Id="R6bed6836b4884a81" /><Relationship Type="http://schemas.openxmlformats.org/officeDocument/2006/relationships/worksheet" Target="/xl/worksheets/sheet2.xml" Id="R4083a1d2648d40aa" /><Relationship Type="http://schemas.openxmlformats.org/officeDocument/2006/relationships/worksheet" Target="/xl/worksheets/sheet3.xml" Id="R83bb3fca3278439f" /><Relationship Type="http://schemas.openxmlformats.org/officeDocument/2006/relationships/worksheet" Target="/xl/worksheets/sheet4.xml" Id="R7461f72ebf834d65" /><Relationship Type="http://schemas.openxmlformats.org/officeDocument/2006/relationships/worksheet" Target="/xl/worksheets/sheet5.xml" Id="Ra84706d725144868" /></Relationships>
</file>

<file path=xl/tables/table1.xml><?xml version="1.0" encoding="utf-8"?>
<x:table xmlns:x="http://schemas.openxmlformats.org/spreadsheetml/2006/main" id="1" name="SummaryHistory" displayName="SummaryHistory" ref="A5:T14" headerRowCount="1" totalsRowCount="0" totalsRowShown="0">
  <x:tableColumns count="20">
    <x:tableColumn id="1" name="Date"/>
    <x:tableColumn id="2" name="BSPI15 level"/>
    <x:tableColumn id="3" name="Daily return"/>
    <x:tableColumn id="4" name="Since launch"/>
    <x:tableColumn id="5" name="S&amp;P 500 level"/>
    <x:tableColumn id="6" name="S&amp;P daily"/>
    <x:tableColumn id="7" name="S&amp;P since launch"/>
    <x:tableColumn id="8" name="Nasdaq level"/>
    <x:tableColumn id="9" name="Nasdaq daily"/>
    <x:tableColumn id="10" name="Nasdaq since launch"/>
    <x:tableColumn id="11" name="Daily excess / S&amp;P"/>
    <x:tableColumn id="12" name="Daily excess / Nasdaq"/>
    <x:tableColumn id="13" name="Weight total"/>
    <x:tableColumn id="14" name="Contribution difference"/>
    <x:tableColumn id="15" name="Holiday carries"/>
    <x:tableColumn id="16" name="Source audit"/>
    <x:tableColumn id="17" name="Fetched at (UTC)"/>
    <x:tableColumn id="18" name="Level difference"/>
    <x:tableColumn id="19" name="Since launch excess / S&amp;P"/>
    <x:tableColumn id="20" name="Since launch excess / Nasdaq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PricesHistory" displayName="PricesHistory" ref="A5:K158" headerRowCount="1" totalsRowCount="0" totalsRowShown="0">
  <x:tableColumns count="11">
    <x:tableColumn id="1" name="Date"/>
    <x:tableColumn id="2" name="Company"/>
    <x:tableColumn id="3" name="Ticker"/>
    <x:tableColumn id="4" name="Marketstack symbol"/>
    <x:tableColumn id="5" name="MIC"/>
    <x:tableColumn id="6" name="Currency"/>
    <x:tableColumn id="7" name="Previous close"/>
    <x:tableColumn id="8" name="Close"/>
    <x:tableColumn id="9" name="Launch close"/>
    <x:tableColumn id="10" name="Source date"/>
    <x:tableColumn id="11" name="Market statu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ReturnsandContributionsHistory" displayName="ReturnsandContributionsHistory" ref="A5:H140" headerRowCount="1" totalsRowCount="0" totalsRowShown="0">
  <x:tableColumns count="8">
    <x:tableColumn id="1" name="Date"/>
    <x:tableColumn id="2" name="Company"/>
    <x:tableColumn id="3" name="Ticker"/>
    <x:tableColumn id="4" name="Previous weight"/>
    <x:tableColumn id="5" name="Daily price return"/>
    <x:tableColumn id="6" name="Contribution"/>
    <x:tableColumn id="7" name="Closing weight"/>
    <x:tableColumn id="8" name="Since launch return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SourceAuditHistory" displayName="SourceAuditHistory" ref="A5:M158" headerRowCount="1" totalsRowCount="0" totalsRowShown="0">
  <x:tableColumns count="13">
    <x:tableColumn id="1" name="Date"/>
    <x:tableColumn id="2" name="Ticker"/>
    <x:tableColumn id="3" name="Raw close"/>
    <x:tableColumn id="4" name="Adjusted close"/>
    <x:tableColumn id="5" name="Dividend"/>
    <x:tableColumn id="6" name="Split factor"/>
    <x:tableColumn id="7" name="Expected MIC"/>
    <x:tableColumn id="8" name="Received MIC"/>
    <x:tableColumn id="9" name="Validation"/>
    <x:tableColumn id="10" name="Raw receipt"/>
    <x:tableColumn id="11" name="Exchange calendar"/>
    <x:tableColumn id="12" name="Fetched at (UTC)"/>
    <x:tableColumn id="13" name="Approved exception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CorporateActionsHistory" displayName="CorporateActionsHistory" ref="A5:H158" headerRowCount="1" totalsRowCount="0" totalsRowShown="0">
  <x:tableColumns count="8">
    <x:tableColumn id="1" name="Date"/>
    <x:tableColumn id="2" name="Company"/>
    <x:tableColumn id="3" name="Ticker"/>
    <x:tableColumn id="4" name="Source date"/>
    <x:tableColumn id="5" name="Dividend"/>
    <x:tableColumn id="6" name="Split factor"/>
    <x:tableColumn id="7" name="Provider review"/>
    <x:tableColumn id="8" name="Treatmen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caaa334d1b4f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f629115b0c4f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0a5b59a3f8e46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84e84f9099640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09f9bf442494a14" /></Relationships>
</file>

<file path=xl/worksheets/sheet1.xml><?xml version="1.0" encoding="utf-8"?>
<x:worksheet xmlns:x="http://schemas.openxmlformats.org/spreadsheetml/2006/main">
  <x:sheetPr>
    <x:tabColor rgb="FF324D4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7" hidden="0" customWidth="1"/>
    <x:col min="14" max="14" width="20" hidden="0" customWidth="1"/>
    <x:col min="15" max="15" width="16" hidden="0" customWidth="1"/>
    <x:col min="16" max="16" width="19" hidden="0" customWidth="1"/>
    <x:col min="17" max="17" width="25" hidden="0" customWidth="1"/>
    <x:col min="18" max="18" width="18" hidden="0" customWidth="1"/>
    <x:col min="19" max="19" width="22" hidden="0" customWidth="1"/>
    <x:col min="20" max="20" width="22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7" customHeight="1">
      <x:c r="A2" s="3" t="str">
        <x:v>BSPI15 daily review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7" customHeight="1">
      <x:c r="A3" s="4" t="str">
        <x:v>Launch: October 1, 2026 = 1,000. Benchmark levels are rebased. Excess returns are percentage points.</x:v>
      </x:c>
      <x:c r="B3" s="4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46" customHeight="1">
      <x:c r="A5" s="7" t="str">
        <x:v>Date</x:v>
      </x:c>
      <x:c r="B5" s="7" t="str">
        <x:v>BSPI15 level</x:v>
      </x:c>
      <x:c r="C5" s="7" t="str">
        <x:v>Daily return</x:v>
      </x:c>
      <x:c r="D5" s="7" t="str">
        <x:v>Since launch</x:v>
      </x:c>
      <x:c r="E5" s="7" t="str">
        <x:v>S&amp;P 500 level</x:v>
      </x:c>
      <x:c r="F5" s="7" t="str">
        <x:v>S&amp;P daily</x:v>
      </x:c>
      <x:c r="G5" s="7" t="str">
        <x:v>S&amp;P since launch</x:v>
      </x:c>
      <x:c r="H5" s="7" t="str">
        <x:v>Nasdaq level</x:v>
      </x:c>
      <x:c r="I5" s="7" t="str">
        <x:v>Nasdaq daily</x:v>
      </x:c>
      <x:c r="J5" s="7" t="str">
        <x:v>Nasdaq since launch</x:v>
      </x:c>
      <x:c r="K5" s="7" t="str">
        <x:v>Daily excess / S&amp;P</x:v>
      </x:c>
      <x:c r="L5" s="7" t="str">
        <x:v>Daily excess / Nasdaq</x:v>
      </x:c>
      <x:c r="M5" s="7" t="str">
        <x:v>Weight total</x:v>
      </x:c>
      <x:c r="N5" s="7" t="str">
        <x:v>Contribution difference</x:v>
      </x:c>
      <x:c r="O5" s="7" t="str">
        <x:v>Holiday carries</x:v>
      </x:c>
      <x:c r="P5" s="7" t="str">
        <x:v>Source audit</x:v>
      </x:c>
      <x:c r="Q5" s="7" t="str">
        <x:v>Fetched at (UTC)</x:v>
      </x:c>
      <x:c r="R5" s="7" t="str">
        <x:v>Level difference</x:v>
      </x:c>
      <x:c r="S5" s="7" t="str">
        <x:v>Since launch excess / S&amp;P</x:v>
      </x:c>
      <x:c r="T5" s="7" t="str">
        <x:v>Since launch excess / Nasdaq</x:v>
      </x:c>
    </x:row>
    <x:row r="6" ht="40" customHeight="1">
      <x:c r="A6" s="8" t="n">
        <x:v>46296</x:v>
      </x:c>
      <x:c r="B6" s="17" t="n">
        <x:f>1000</x:f>
        <x:v>1000</x:v>
      </x:c>
      <x:c r="C6" s="20"/>
      <x:c r="D6" s="20" t="n">
        <x:f>B6/$B$6-1</x:f>
        <x:v>0</x:v>
      </x:c>
      <x:c r="E6" s="19" t="n">
        <x:f>1000*'Prices'!H21/'Prices'!I21</x:f>
        <x:v>1000</x:v>
      </x:c>
      <x:c r="F6" s="20"/>
      <x:c r="G6" s="20" t="n">
        <x:f>E6/1000-1</x:f>
        <x:v>0</x:v>
      </x:c>
      <x:c r="H6" s="19" t="n">
        <x:f>1000*'Prices'!H22/'Prices'!I22</x:f>
        <x:v>1000</x:v>
      </x:c>
      <x:c r="I6" s="20"/>
      <x:c r="J6" s="20" t="n">
        <x:f>H6/1000-1</x:f>
        <x:v>0</x:v>
      </x:c>
      <x:c r="K6" s="24"/>
      <x:c r="L6" s="24"/>
      <x:c r="M6" s="22" t="n">
        <x:f>SUM('Returns and Contributions'!G6:G20)</x:f>
        <x:v>0.9999999999999999</x:v>
      </x:c>
      <x:c r="N6" s="26"/>
      <x:c r="O6" s="2" t="n">
        <x:v>2</x:v>
      </x:c>
      <x:c r="P6" s="31" t="str">
        <x:f>IF(COUNTIF('Source Audit'!I6:I22,"Mismatch")=0,IF(COUNTIF('Source Audit'!I6:I22,"Approved MIC exception")&gt;0,"Passed / exception","Passed"),"Failed")</x:f>
        <x:v>Passed / exception</x:v>
      </x:c>
      <x:c r="Q6" s="29" t="n">
        <x:v>46304.492743877316</x:v>
      </x:c>
      <x:c r="R6" s="28" t="n">
        <x:f>B6-1000*('Prices'!H6/'Prices'!H6+'Prices'!H7/'Prices'!H7+'Prices'!H8/'Prices'!H8+'Prices'!H9/'Prices'!H9+'Prices'!H10/'Prices'!H10+'Prices'!H11/'Prices'!H11+'Prices'!H12/'Prices'!H12+'Prices'!H13/'Prices'!H13+'Prices'!H14/'Prices'!H14+'Prices'!H15/'Prices'!H15+'Prices'!H16/'Prices'!H16+'Prices'!H17/'Prices'!H17+'Prices'!H18/'Prices'!H18+'Prices'!H19/'Prices'!H19+'Prices'!H20/'Prices'!H20)/15</x:f>
        <x:v>0</x:v>
      </x:c>
      <x:c r="S6" s="24" t="n">
        <x:f>(D6-G6)*100</x:f>
        <x:v>0</x:v>
      </x:c>
      <x:c r="T6" s="24" t="n">
        <x:f>(D6-J6)*100</x:f>
        <x:v>0</x:v>
      </x:c>
    </x:row>
    <x:row r="7" ht="40" customHeight="1">
      <x:c r="A7" s="9" t="n">
        <x:v>46297</x:v>
      </x:c>
      <x:c r="B7" s="18" t="n">
        <x:f>B6*(1+SUM('Returns and Contributions'!F21:F35))</x:f>
        <x:v>1015.828434156689</x:v>
      </x:c>
      <x:c r="C7" s="21" t="n">
        <x:f>B7/B6-1</x:f>
        <x:v>0.015828434156688997</x:v>
      </x:c>
      <x:c r="D7" s="21" t="n">
        <x:f>B7/$B$6-1</x:f>
        <x:v>0.015828434156688997</x:v>
      </x:c>
      <x:c r="E7" s="18" t="n">
        <x:f>1000*'Prices'!H38/'Prices'!I38</x:f>
        <x:v>1007.3397726457487</x:v>
      </x:c>
      <x:c r="F7" s="21" t="n">
        <x:f>E7/E6-1</x:f>
        <x:v>0.007339772645748699</x:v>
      </x:c>
      <x:c r="G7" s="21" t="n">
        <x:f>E7/1000-1</x:f>
        <x:v>0.007339772645748699</x:v>
      </x:c>
      <x:c r="H7" s="18" t="n">
        <x:f>1000*'Prices'!H39/'Prices'!I39</x:f>
        <x:v>1011.8810845312026</x:v>
      </x:c>
      <x:c r="I7" s="21" t="n">
        <x:f>H7/H6-1</x:f>
        <x:v>0.011881084531202735</x:v>
      </x:c>
      <x:c r="J7" s="21" t="n">
        <x:f>H7/1000-1</x:f>
        <x:v>0.011881084531202735</x:v>
      </x:c>
      <x:c r="K7" s="25" t="n">
        <x:f>(C7-F7)*100</x:f>
        <x:v>0.8488661510940299</x:v>
      </x:c>
      <x:c r="L7" s="25" t="n">
        <x:f>(C7-I7)*100</x:f>
        <x:v>0.3947349625486263</x:v>
      </x:c>
      <x:c r="M7" s="23" t="n">
        <x:f>SUM('Returns and Contributions'!G21:G35)</x:f>
        <x:v>0.9999999999999999</x:v>
      </x:c>
      <x:c r="N7" s="27" t="n">
        <x:f>SUM('Returns and Contributions'!F21:F35)-C7</x:f>
        <x:v>-9.71445146547012e-17</x:v>
      </x:c>
      <x:c r="O7" s="10" t="n">
        <x:v>2</x:v>
      </x:c>
      <x:c r="P7" s="32" t="str">
        <x:f>IF(COUNTIF('Source Audit'!I23:I39,"Mismatch")=0,IF(COUNTIF('Source Audit'!I23:I39,"Approved MIC exception")&gt;0,"Passed / exception","Passed"),"Failed")</x:f>
        <x:v>Passed / exception</x:v>
      </x:c>
      <x:c r="Q7" s="30" t="n">
        <x:v>46304.492743877316</x:v>
      </x:c>
      <x:c r="R7" s="27" t="n">
        <x:f>B7-1000*('Prices'!H23/'Prices'!H6+'Prices'!H24/'Prices'!H7+'Prices'!H25/'Prices'!H8+'Prices'!H26/'Prices'!H9+'Prices'!H27/'Prices'!H10+'Prices'!H28/'Prices'!H11+'Prices'!H29/'Prices'!H12+'Prices'!H30/'Prices'!H13+'Prices'!H31/'Prices'!H14+'Prices'!H32/'Prices'!H15+'Prices'!H33/'Prices'!H16+'Prices'!H34/'Prices'!H17+'Prices'!H35/'Prices'!H18+'Prices'!H36/'Prices'!H19+'Prices'!H37/'Prices'!H20)/15</x:f>
        <x:v>2.2737367544323206e-13</x:v>
      </x:c>
      <x:c r="S7" s="25" t="n">
        <x:f>(D7-G7)*100</x:f>
        <x:v>0.8488661510940299</x:v>
      </x:c>
      <x:c r="T7" s="25" t="n">
        <x:f>(D7-J7)*100</x:f>
        <x:v>0.3947349625486263</x:v>
      </x:c>
    </x:row>
    <x:row r="8" ht="40" customHeight="1">
      <x:c r="A8" s="8" t="n">
        <x:v>46300</x:v>
      </x:c>
      <x:c r="B8" s="19" t="n">
        <x:f>B7*(1+SUM('Returns and Contributions'!F36:F50))</x:f>
        <x:v>1021.3799130205241</x:v>
      </x:c>
      <x:c r="C8" s="20" t="n">
        <x:f>B8/B7-1</x:f>
        <x:v>0.005464976837790347</x:v>
      </x:c>
      <x:c r="D8" s="20" t="n">
        <x:f>B8/$B$6-1</x:f>
        <x:v>0.02137991302052411</x:v>
      </x:c>
      <x:c r="E8" s="19" t="n">
        <x:f>1000*'Prices'!H55/'Prices'!I55</x:f>
        <x:v>1014.022160843676</x:v>
      </x:c>
      <x:c r="F8" s="20" t="n">
        <x:f>E8/E7-1</x:f>
        <x:v>0.006633698360163365</x:v>
      </x:c>
      <x:c r="G8" s="20" t="n">
        <x:f>E8/1000-1</x:f>
        <x:v>0.014022160843676135</x:v>
      </x:c>
      <x:c r="H8" s="19" t="n">
        <x:f>1000*'Prices'!H56/'Prices'!I56</x:f>
        <x:v>1022.5410821806909</x:v>
      </x:c>
      <x:c r="I8" s="20" t="n">
        <x:f>H8/H7-1</x:f>
        <x:v>0.010534832415042938</x:v>
      </x:c>
      <x:c r="J8" s="20" t="n">
        <x:f>H8/1000-1</x:f>
        <x:v>0.02254108218069084</x:v>
      </x:c>
      <x:c r="K8" s="24" t="n">
        <x:f>(C8-F8)*100</x:f>
        <x:v>-0.11687215223730174</x:v>
      </x:c>
      <x:c r="L8" s="24" t="n">
        <x:f>(C8-I8)*100</x:f>
        <x:v>-0.5069855577252591</x:v>
      </x:c>
      <x:c r="M8" s="22" t="n">
        <x:f>SUM('Returns and Contributions'!G36:G50)</x:f>
        <x:v>1</x:v>
      </x:c>
      <x:c r="N8" s="28" t="n">
        <x:f>SUM('Returns and Contributions'!F36:F50)-C8</x:f>
        <x:v>6.591949208711867e-17</x:v>
      </x:c>
      <x:c r="O8" s="2" t="n">
        <x:v>2</x:v>
      </x:c>
      <x:c r="P8" s="31" t="str">
        <x:f>IF(COUNTIF('Source Audit'!I40:I56,"Mismatch")=0,IF(COUNTIF('Source Audit'!I40:I56,"Approved MIC exception")&gt;0,"Passed / exception","Passed"),"Failed")</x:f>
        <x:v>Passed / exception</x:v>
      </x:c>
      <x:c r="Q8" s="29" t="n">
        <x:v>46304.492743877316</x:v>
      </x:c>
      <x:c r="R8" s="28" t="n">
        <x:f>B8-1000*('Prices'!H40/'Prices'!H6+'Prices'!H41/'Prices'!H7+'Prices'!H42/'Prices'!H8+'Prices'!H43/'Prices'!H9+'Prices'!H44/'Prices'!H10+'Prices'!H45/'Prices'!H11+'Prices'!H46/'Prices'!H12+'Prices'!H47/'Prices'!H13+'Prices'!H48/'Prices'!H14+'Prices'!H49/'Prices'!H15+'Prices'!H50/'Prices'!H16+'Prices'!H51/'Prices'!H17+'Prices'!H52/'Prices'!H18+'Prices'!H53/'Prices'!H19+'Prices'!H54/'Prices'!H20)/15</x:f>
        <x:v>-1.1368683772161603e-13</x:v>
      </x:c>
      <x:c r="S8" s="24" t="n">
        <x:f>(D8-G8)*100</x:f>
        <x:v>0.7357752176847976</x:v>
      </x:c>
      <x:c r="T8" s="24" t="n">
        <x:f>(D8-J8)*100</x:f>
        <x:v>-0.11611691601667307</x:v>
      </x:c>
    </x:row>
    <x:row r="9" ht="40" customHeight="1">
      <x:c r="A9" s="9" t="n">
        <x:v>46301</x:v>
      </x:c>
      <x:c r="B9" s="18" t="n">
        <x:f>B8*(1+SUM('Returns and Contributions'!F51:F65))</x:f>
        <x:v>1026.5536455216961</x:v>
      </x:c>
      <x:c r="C9" s="21" t="n">
        <x:f>B9/B8-1</x:f>
        <x:v>0.005065433963618693</x:v>
      </x:c>
      <x:c r="D9" s="21" t="n">
        <x:f>B9/$B$6-1</x:f>
        <x:v>0.026553645521696145</x:v>
      </x:c>
      <x:c r="E9" s="18" t="n">
        <x:f>1000*'Prices'!H72/'Prices'!I72</x:f>
        <x:v>1019.8892806970632</x:v>
      </x:c>
      <x:c r="F9" s="21" t="n">
        <x:f>E9/E8-1</x:f>
        <x:v>0.005785987801790959</x:v>
      </x:c>
      <x:c r="G9" s="21" t="n">
        <x:f>E9/1000-1</x:f>
        <x:v>0.019889280697063194</x:v>
      </x:c>
      <x:c r="H9" s="18" t="n">
        <x:f>1000*'Prices'!H73/'Prices'!I73</x:f>
        <x:v>1027.0989996697517</x:v>
      </x:c>
      <x:c r="I9" s="21" t="n">
        <x:f>H9/H8-1</x:f>
        <x:v>0.004457441924328842</x:v>
      </x:c>
      <x:c r="J9" s="21" t="n">
        <x:f>H9/1000-1</x:f>
        <x:v>0.02709899966975171</x:v>
      </x:c>
      <x:c r="K9" s="25" t="n">
        <x:f>(C9-F9)*100</x:f>
        <x:v>-0.07205538381722665</x:v>
      </x:c>
      <x:c r="L9" s="25" t="n">
        <x:f>(C9-I9)*100</x:f>
        <x:v>0.06079920392898508</x:v>
      </x:c>
      <x:c r="M9" s="23" t="n">
        <x:f>SUM('Returns and Contributions'!G51:G65)</x:f>
        <x:v>1</x:v>
      </x:c>
      <x:c r="N9" s="27" t="n">
        <x:f>SUM('Returns and Contributions'!F51:F65)-C9</x:f>
        <x:v>4.683753385137379e-17</x:v>
      </x:c>
      <x:c r="O9" s="10" t="n">
        <x:v>2</x:v>
      </x:c>
      <x:c r="P9" s="32" t="str">
        <x:f>IF(COUNTIF('Source Audit'!I57:I73,"Mismatch")=0,IF(COUNTIF('Source Audit'!I57:I73,"Approved MIC exception")&gt;0,"Passed / exception","Passed"),"Failed")</x:f>
        <x:v>Passed / exception</x:v>
      </x:c>
      <x:c r="Q9" s="30" t="n">
        <x:v>46304.492743877316</x:v>
      </x:c>
      <x:c r="R9" s="27" t="n">
        <x:f>B9-1000*('Prices'!H57/'Prices'!H6+'Prices'!H58/'Prices'!H7+'Prices'!H59/'Prices'!H8+'Prices'!H60/'Prices'!H9+'Prices'!H61/'Prices'!H10+'Prices'!H62/'Prices'!H11+'Prices'!H63/'Prices'!H12+'Prices'!H64/'Prices'!H13+'Prices'!H65/'Prices'!H14+'Prices'!H66/'Prices'!H15+'Prices'!H67/'Prices'!H16+'Prices'!H68/'Prices'!H17+'Prices'!H69/'Prices'!H18+'Prices'!H70/'Prices'!H19+'Prices'!H71/'Prices'!H20)/15</x:f>
        <x:v>-2.2737367544323206e-13</x:v>
      </x:c>
      <x:c r="S9" s="25" t="n">
        <x:f>(D9-G9)*100</x:f>
        <x:v>0.6664364824632951</x:v>
      </x:c>
      <x:c r="T9" s="25" t="n">
        <x:f>(D9-J9)*100</x:f>
        <x:v>-0.05453541480555657</x:v>
      </x:c>
    </x:row>
    <x:row r="10" ht="40" customHeight="1">
      <x:c r="A10" s="8" t="n">
        <x:v>46302</x:v>
      </x:c>
      <x:c r="B10" s="19" t="n">
        <x:f>B9*(1+SUM('Returns and Contributions'!F66:F80))</x:f>
        <x:v>1003.8668214684625</x:v>
      </x:c>
      <x:c r="C10" s="20" t="n">
        <x:f>B10/B9-1</x:f>
        <x:v>-0.02209998878500319</x:v>
      </x:c>
      <x:c r="D10" s="20" t="n">
        <x:f>B10/$B$6-1</x:f>
        <x:v>0.0038668214684625113</x:v>
      </x:c>
      <x:c r="E10" s="19" t="n">
        <x:f>1000*'Prices'!H89/'Prices'!I89</x:f>
        <x:v>1017.6509362221105</x:v>
      </x:c>
      <x:c r="F10" s="20" t="n">
        <x:f>E10/E9-1</x:f>
        <x:v>-0.0021946935979392235</x:v>
      </x:c>
      <x:c r="G10" s="20" t="n">
        <x:f>E10/1000-1</x:f>
        <x:v>0.017650936222110447</x:v>
      </x:c>
      <x:c r="H10" s="19" t="n">
        <x:f>1000*'Prices'!H90/'Prices'!I90</x:f>
        <x:v>1024.8253104671414</x:v>
      </x:c>
      <x:c r="I10" s="20" t="n">
        <x:f>H10/H9-1</x:f>
        <x:v>-0.002213700143161801</x:v>
      </x:c>
      <x:c r="J10" s="20" t="n">
        <x:f>H10/1000-1</x:f>
        <x:v>0.024825310467141426</x:v>
      </x:c>
      <x:c r="K10" s="24" t="n">
        <x:f>(C10-F10)*100</x:f>
        <x:v>-1.9905295187063965</x:v>
      </x:c>
      <x:c r="L10" s="24" t="n">
        <x:f>(C10-I10)*100</x:f>
        <x:v>-1.9886288641841388</x:v>
      </x:c>
      <x:c r="M10" s="22" t="n">
        <x:f>SUM('Returns and Contributions'!G66:G80)</x:f>
        <x:v>1</x:v>
      </x:c>
      <x:c r="N10" s="28" t="n">
        <x:f>SUM('Returns and Contributions'!F66:F80)-C10</x:f>
        <x:v>-3.469446951953614e-17</x:v>
      </x:c>
      <x:c r="O10" s="2" t="n">
        <x:v>2</x:v>
      </x:c>
      <x:c r="P10" s="31" t="str">
        <x:f>IF(COUNTIF('Source Audit'!I74:I90,"Mismatch")=0,IF(COUNTIF('Source Audit'!I74:I90,"Approved MIC exception")&gt;0,"Passed / exception","Passed"),"Failed")</x:f>
        <x:v>Passed / exception</x:v>
      </x:c>
      <x:c r="Q10" s="29" t="n">
        <x:v>46304.492743877316</x:v>
      </x:c>
      <x:c r="R10" s="28" t="n">
        <x:f>B10-1000*('Prices'!H74/'Prices'!H6+'Prices'!H75/'Prices'!H7+'Prices'!H76/'Prices'!H8+'Prices'!H77/'Prices'!H9+'Prices'!H78/'Prices'!H10+'Prices'!H79/'Prices'!H11+'Prices'!H80/'Prices'!H12+'Prices'!H81/'Prices'!H13+'Prices'!H82/'Prices'!H14+'Prices'!H83/'Prices'!H15+'Prices'!H84/'Prices'!H16+'Prices'!H85/'Prices'!H17+'Prices'!H86/'Prices'!H18+'Prices'!H87/'Prices'!H19+'Prices'!H88/'Prices'!H20)/15</x:f>
        <x:v>1.1368683772161603e-13</x:v>
      </x:c>
      <x:c r="S10" s="24" t="n">
        <x:f>(D10-G10)*100</x:f>
        <x:v>-1.3784114753647936</x:v>
      </x:c>
      <x:c r="T10" s="24" t="n">
        <x:f>(D10-J10)*100</x:f>
        <x:v>-2.0958488998678915</x:v>
      </x:c>
    </x:row>
    <x:row r="11" ht="40" customHeight="1">
      <x:c r="A11" s="9" t="n">
        <x:v>46303</x:v>
      </x:c>
      <x:c r="B11" s="18" t="n">
        <x:f>B10*(1+SUM('Returns and Contributions'!F81:F95))</x:f>
        <x:v>976.8397659583642</x:v>
      </x:c>
      <x:c r="C11" s="21" t="n">
        <x:f>B11/B10-1</x:f>
        <x:v>-0.026922949271859564</x:v>
      </x:c>
      <x:c r="D11" s="21" t="n">
        <x:f>B11/$B$6-1</x:f>
        <x:v>-0.023160234041635808</x:v>
      </x:c>
      <x:c r="E11" s="18" t="n">
        <x:f>1000*'Prices'!H106/'Prices'!I106</x:f>
        <x:v>1012.9016689602098</x:v>
      </x:c>
      <x:c r="F11" s="21" t="n">
        <x:f>E11/E10-1</x:f>
        <x:v>-0.00466689224453698</x:v>
      </x:c>
      <x:c r="G11" s="21" t="n">
        <x:f>E11/1000-1</x:f>
        <x:v>0.012901668960209722</x:v>
      </x:c>
      <x:c r="H11" s="18" t="n">
        <x:f>1000*'Prices'!H107/'Prices'!I107</x:f>
        <x:v>1011.9733901771974</x:v>
      </x:c>
      <x:c r="I11" s="21" t="n">
        <x:f>H11/H10-1</x:f>
        <x:v>-0.012540596098359225</x:v>
      </x:c>
      <x:c r="J11" s="21" t="n">
        <x:f>H11/1000-1</x:f>
        <x:v>0.011973390177197452</x:v>
      </x:c>
      <x:c r="K11" s="25" t="n">
        <x:f>(C11-F11)*100</x:f>
        <x:v>-2.2256057027322584</x:v>
      </x:c>
      <x:c r="L11" s="25" t="n">
        <x:f>(C11-I11)*100</x:f>
        <x:v>-1.438235317350034</x:v>
      </x:c>
      <x:c r="M11" s="23" t="n">
        <x:f>SUM('Returns and Contributions'!G81:G95)</x:f>
        <x:v>1</x:v>
      </x:c>
      <x:c r="N11" s="27" t="n">
        <x:f>SUM('Returns and Contributions'!F81:F95)-C11</x:f>
        <x:v>4.5102810375396984e-17</x:v>
      </x:c>
      <x:c r="O11" s="10" t="n">
        <x:v>0</x:v>
      </x:c>
      <x:c r="P11" s="32" t="str">
        <x:f>IF(COUNTIF('Source Audit'!I91:I107,"Mismatch")=0,IF(COUNTIF('Source Audit'!I91:I107,"Approved MIC exception")&gt;0,"Passed / exception","Passed"),"Failed")</x:f>
        <x:v>Passed / exception</x:v>
      </x:c>
      <x:c r="Q11" s="30" t="n">
        <x:v>46304.492743877316</x:v>
      </x:c>
      <x:c r="R11" s="27" t="n">
        <x:f>B11-1000*('Prices'!H91/'Prices'!H6+'Prices'!H92/'Prices'!H7+'Prices'!H93/'Prices'!H8+'Prices'!H94/'Prices'!H9+'Prices'!H95/'Prices'!H10+'Prices'!H96/'Prices'!H11+'Prices'!H97/'Prices'!H12+'Prices'!H98/'Prices'!H13+'Prices'!H99/'Prices'!H14+'Prices'!H100/'Prices'!H15+'Prices'!H101/'Prices'!H16+'Prices'!H102/'Prices'!H17+'Prices'!H103/'Prices'!H18+'Prices'!H104/'Prices'!H19+'Prices'!H105/'Prices'!H20)/15</x:f>
        <x:v>-2.2737367544323206e-13</x:v>
      </x:c>
      <x:c r="S11" s="25" t="n">
        <x:f>(D11-G11)*100</x:f>
        <x:v>-3.606190300184553</x:v>
      </x:c>
      <x:c r="T11" s="25" t="n">
        <x:f>(D11-J11)*100</x:f>
        <x:v>-3.513362421883326</x:v>
      </x:c>
    </x:row>
    <x:row r="12" ht="40" customHeight="1">
      <x:c r="A12" s="8" t="n">
        <x:v>46304</x:v>
      </x:c>
      <x:c r="B12" s="19" t="n">
        <x:f>B11*(1+SUM('Returns and Contributions'!F96:F110))</x:f>
        <x:v>988.7186891541369</x:v>
      </x:c>
      <x:c r="C12" s="20" t="n">
        <x:f>B12/B11-1</x:f>
        <x:v>0.012160564720784528</x:v>
      </x:c>
      <x:c r="D12" s="20" t="n">
        <x:f>B12/$B$6-1</x:f>
        <x:v>-0.011281310845863146</x:v>
      </x:c>
      <x:c r="E12" s="19" t="n">
        <x:f>1000*'Prices'!H123/'Prices'!I123</x:f>
        <x:v>1018.9253174546237</x:v>
      </x:c>
      <x:c r="F12" s="20" t="n">
        <x:f>E12/E11-1</x:f>
        <x:v>0.005946923259191994</x:v>
      </x:c>
      <x:c r="G12" s="20" t="n">
        <x:f>E12/1000-1</x:f>
        <x:v>0.01892531745462378</x:v>
      </x:c>
      <x:c r="H12" s="19" t="n">
        <x:f>1000*'Prices'!H124/'Prices'!I124</x:f>
        <x:v>1018.4050923332402</x:v>
      </x:c>
      <x:c r="I12" s="20" t="n">
        <x:f>H12/H11-1</x:f>
        <x:v>0.006355604029189443</x:v>
      </x:c>
      <x:c r="J12" s="20" t="n">
        <x:f>H12/1000-1</x:f>
        <x:v>0.01840509233324017</x:v>
      </x:c>
      <x:c r="K12" s="24" t="n">
        <x:f>(C12-F12)*100</x:f>
        <x:v>0.6213641461592534</x:v>
      </x:c>
      <x:c r="L12" s="24" t="n">
        <x:f>(C12-I12)*100</x:f>
        <x:v>0.5804960691595085</x:v>
      </x:c>
      <x:c r="M12" s="22" t="n">
        <x:f>SUM('Returns and Contributions'!G96:G110)</x:f>
        <x:v>0.9999999999999999</x:v>
      </x:c>
      <x:c r="N12" s="28" t="n">
        <x:f>SUM('Returns and Contributions'!F96:F110)-C12</x:f>
        <x:v>-8.500145032286355e-17</x:v>
      </x:c>
      <x:c r="O12" s="2" t="n">
        <x:v>0</x:v>
      </x:c>
      <x:c r="P12" s="31" t="str">
        <x:f>IF(COUNTIF('Source Audit'!I108:I124,"Mismatch")=0,IF(COUNTIF('Source Audit'!I108:I124,"Approved MIC exception")&gt;0,"Passed / exception","Passed"),"Failed")</x:f>
        <x:v>Passed / exception</x:v>
      </x:c>
      <x:c r="Q12" s="29" t="n">
        <x:v>46305.48259241898</x:v>
      </x:c>
      <x:c r="R12" s="28" t="n">
        <x:f>B12-1000*('Prices'!H108/'Prices'!H6+'Prices'!H109/'Prices'!H7+'Prices'!H110/'Prices'!H8+'Prices'!H111/'Prices'!H9+'Prices'!H112/'Prices'!H10+'Prices'!H113/'Prices'!H11+'Prices'!H114/'Prices'!H12+'Prices'!H115/'Prices'!H13+'Prices'!H116/'Prices'!H14+'Prices'!H117/'Prices'!H15+'Prices'!H118/'Prices'!H16+'Prices'!H119/'Prices'!H17+'Prices'!H120/'Prices'!H18+'Prices'!H121/'Prices'!H19+'Prices'!H122/'Prices'!H20)/15</x:f>
        <x:v>0</x:v>
      </x:c>
      <x:c r="S12" s="24" t="n">
        <x:f>(D12-G12)*100</x:f>
        <x:v>-3.0206628300486926</x:v>
      </x:c>
      <x:c r="T12" s="24" t="n">
        <x:f>(D12-J12)*100</x:f>
        <x:v>-2.9686403179103316</x:v>
      </x:c>
    </x:row>
    <x:row r="13" ht="40" customHeight="1">
      <x:c r="A13" s="9" t="n">
        <x:v>46307</x:v>
      </x:c>
      <x:c r="B13" s="18" t="n">
        <x:f>B12*(1+SUM('Returns and Contributions'!F111:F125))</x:f>
        <x:v>974.7561631298038</x:v>
      </x:c>
      <x:c r="C13" s="21" t="n">
        <x:f>B13/B12-1</x:f>
        <x:v>-0.014121838878435877</x:v>
      </x:c>
      <x:c r="D13" s="21" t="n">
        <x:f>B13/$B$6-1</x:f>
        <x:v>-0.025243836870196268</x:v>
      </x:c>
      <x:c r="E13" s="18" t="n">
        <x:f>1000*'Prices'!H140/'Prices'!I140</x:f>
        <x:v>1018.3644320382967</x:v>
      </x:c>
      <x:c r="F13" s="21" t="n">
        <x:f>E13/E12-1</x:f>
        <x:v>-0.0005504676414638254</x:v>
      </x:c>
      <x:c r="G13" s="21" t="n">
        <x:f>E13/1000-1</x:f>
        <x:v>0.01836443203829674</x:v>
      </x:c>
      <x:c r="H13" s="18" t="n">
        <x:f>1000*'Prices'!H141/'Prices'!I141</x:f>
        <x:v>1013.9294519082094</x:v>
      </x:c>
      <x:c r="I13" s="21" t="n">
        <x:f>H13/H12-1</x:f>
        <x:v>-0.00439475456154359</x:v>
      </x:c>
      <x:c r="J13" s="21" t="n">
        <x:f>H13/1000-1</x:f>
        <x:v>0.013929451908209378</x:v>
      </x:c>
      <x:c r="K13" s="25" t="n">
        <x:f>(C13-F13)*100</x:f>
        <x:v>-1.3571371236972052</x:v>
      </x:c>
      <x:c r="L13" s="25" t="n">
        <x:f>(C13-I13)*100</x:f>
        <x:v>-0.9727084316892287</x:v>
      </x:c>
      <x:c r="M13" s="23" t="n">
        <x:f>SUM('Returns and Contributions'!G111:G125)</x:f>
        <x:v>0.9999999999999999</x:v>
      </x:c>
      <x:c r="N13" s="27" t="n">
        <x:f>SUM('Returns and Contributions'!F111:F125)-C13</x:f>
        <x:v>-5.204170427930421e-17</x:v>
      </x:c>
      <x:c r="O13" s="10" t="n">
        <x:v>5</x:v>
      </x:c>
      <x:c r="P13" s="32" t="str">
        <x:f>IF(COUNTIF('Source Audit'!I125:I141,"Mismatch")=0,IF(COUNTIF('Source Audit'!I125:I141,"Approved MIC exception")&gt;0,"Passed / exception","Passed"),"Failed")</x:f>
        <x:v>Passed / exception</x:v>
      </x:c>
      <x:c r="Q13" s="30" t="n">
        <x:v>46309.651944641206</x:v>
      </x:c>
      <x:c r="R13" s="27" t="n">
        <x:f>B13-1000*('Prices'!H125/'Prices'!H6+'Prices'!H126/'Prices'!H7+'Prices'!H127/'Prices'!H8+'Prices'!H128/'Prices'!H9+'Prices'!H129/'Prices'!H10+'Prices'!H130/'Prices'!H11+'Prices'!H131/'Prices'!H12+'Prices'!H132/'Prices'!H13+'Prices'!H133/'Prices'!H14+'Prices'!H134/'Prices'!H15+'Prices'!H135/'Prices'!H16+'Prices'!H136/'Prices'!H17+'Prices'!H137/'Prices'!H18+'Prices'!H138/'Prices'!H19+'Prices'!H139/'Prices'!H20)/15</x:f>
        <x:v>0</x:v>
      </x:c>
      <x:c r="S13" s="25" t="n">
        <x:f>(D13-G13)*100</x:f>
        <x:v>-4.360826890849301</x:v>
      </x:c>
      <x:c r="T13" s="25" t="n">
        <x:f>(D13-J13)*100</x:f>
        <x:v>-3.9173288778405646</x:v>
      </x:c>
    </x:row>
    <x:row r="14" ht="40" customHeight="1">
      <x:c r="A14" s="8" t="n">
        <x:v>46308</x:v>
      </x:c>
      <x:c r="B14" s="19" t="n">
        <x:f>B13*(1+SUM('Returns and Contributions'!F126:F140))</x:f>
        <x:v>967.6403929539139</x:v>
      </x:c>
      <x:c r="C14" s="20" t="n">
        <x:f>B14/B13-1</x:f>
        <x:v>-0.007300051484714021</x:v>
      </x:c>
      <x:c r="D14" s="20" t="n">
        <x:f>B14/$B$6-1</x:f>
        <x:v>-0.03235960704608609</x:v>
      </x:c>
      <x:c r="E14" s="19" t="n">
        <x:f>1000*'Prices'!H157/'Prices'!I157</x:f>
        <x:v>1018.130947178942</x:v>
      </x:c>
      <x:c r="F14" s="20" t="n">
        <x:f>E14/E13-1</x:f>
        <x:v>-0.00022927436584496697</x:v>
      </x:c>
      <x:c r="G14" s="20" t="n">
        <x:f>E14/1000-1</x:f>
        <x:v>0.018130947178942147</x:v>
      </x:c>
      <x:c r="H14" s="19" t="n">
        <x:f>1000*'Prices'!H158/'Prices'!I158</x:f>
        <x:v>1012.3842738524082</x:v>
      </x:c>
      <x:c r="I14" s="20" t="n">
        <x:f>H14/H13-1</x:f>
        <x:v>-0.0015239502638898506</x:v>
      </x:c>
      <x:c r="J14" s="20" t="n">
        <x:f>H14/1000-1</x:f>
        <x:v>0.012384273852408256</x:v>
      </x:c>
      <x:c r="K14" s="24" t="n">
        <x:f>(C14-F14)*100</x:f>
        <x:v>-0.7070777118869054</x:v>
      </x:c>
      <x:c r="L14" s="24" t="n">
        <x:f>(C14-I14)*100</x:f>
        <x:v>-0.577610122082417</x:v>
      </x:c>
      <x:c r="M14" s="22" t="n">
        <x:f>SUM('Returns and Contributions'!G126:G140)</x:f>
        <x:v>0.9999999999999999</x:v>
      </x:c>
      <x:c r="N14" s="28" t="n">
        <x:f>SUM('Returns and Contributions'!F126:F140)-C14</x:f>
        <x:v>1.5612511283791264e-17</x:v>
      </x:c>
      <x:c r="O14" s="2" t="n">
        <x:v>0</x:v>
      </x:c>
      <x:c r="P14" s="31" t="str">
        <x:f>IF(COUNTIF('Source Audit'!I142:I158,"Mismatch")=0,IF(COUNTIF('Source Audit'!I142:I158,"Approved MIC exception")&gt;0,"Passed / exception","Passed"),"Failed")</x:f>
        <x:v>Passed / exception</x:v>
      </x:c>
      <x:c r="Q14" s="29" t="n">
        <x:v>46309.65368584491</x:v>
      </x:c>
      <x:c r="R14" s="28" t="n">
        <x:f>B14-1000*('Prices'!H142/'Prices'!H6+'Prices'!H143/'Prices'!H7+'Prices'!H144/'Prices'!H8+'Prices'!H145/'Prices'!H9+'Prices'!H146/'Prices'!H10+'Prices'!H147/'Prices'!H11+'Prices'!H148/'Prices'!H12+'Prices'!H149/'Prices'!H13+'Prices'!H150/'Prices'!H14+'Prices'!H151/'Prices'!H15+'Prices'!H152/'Prices'!H16+'Prices'!H153/'Prices'!H17+'Prices'!H154/'Prices'!H18+'Prices'!H155/'Prices'!H19+'Prices'!H156/'Prices'!H20)/15</x:f>
        <x:v>0</x:v>
      </x:c>
      <x:c r="S14" s="24" t="n">
        <x:f>(D14-G14)*100</x:f>
        <x:v>-5.049055422502824</x:v>
      </x:c>
      <x:c r="T14" s="24" t="n">
        <x:f>(D14-J14)*100</x:f>
        <x:v>-4.474388089849435</x:v>
      </x:c>
    </x:row>
  </x:sheetData>
  <x:mergeCells>
    <x:mergeCell ref="A2:D2"/>
    <x:mergeCell ref="A3:J3"/>
  </x:mergeCells>
  <x:pageMargins left="0.7" right="0.7" top="0.75" bottom="0.75" header="0.3" footer="0.3"/>
  <x:tableParts count="1">
    <x:tablePart xmlns:r="http://schemas.openxmlformats.org/officeDocument/2006/relationships" r:id="R60caaa334d1b4ff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7" hidden="0" customWidth="1"/>
    <x:col min="4" max="4" width="18" hidden="0" customWidth="1"/>
    <x:col min="5" max="5" width="13" hidden="0" customWidth="1"/>
    <x:col min="6" max="6" width="12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20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7" customHeight="1">
      <x:c r="A2" s="3" t="str">
        <x:v>Closing price history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7" customHeight="1">
      <x:c r="A3" s="4" t="str">
        <x:v>Unadjusted prices in listing currency. Sources and exchange calendars are in Source Audit.</x:v>
      </x:c>
      <x:c r="B3" s="4"/>
      <x:c r="C3" s="4"/>
      <x:c r="D3" s="4"/>
      <x:c r="E3" s="4"/>
      <x:c r="F3" s="4"/>
      <x:c r="G3" s="4"/>
      <x:c r="H3" s="4"/>
      <x:c r="I3" s="4"/>
      <x:c r="J3" s="4"/>
      <x:c r="K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6" customHeight="1">
      <x:c r="A5" s="7" t="str">
        <x:v>Date</x:v>
      </x:c>
      <x:c r="B5" s="7" t="str">
        <x:v>Company</x:v>
      </x:c>
      <x:c r="C5" s="7" t="str">
        <x:v>Ticker</x:v>
      </x:c>
      <x:c r="D5" s="7" t="str">
        <x:v>Marketstack symbol</x:v>
      </x:c>
      <x:c r="E5" s="7" t="str">
        <x:v>MIC</x:v>
      </x:c>
      <x:c r="F5" s="7" t="str">
        <x:v>Currency</x:v>
      </x:c>
      <x:c r="G5" s="7" t="str">
        <x:v>Previous close</x:v>
      </x:c>
      <x:c r="H5" s="7" t="str">
        <x:v>Close</x:v>
      </x:c>
      <x:c r="I5" s="7" t="str">
        <x:v>Launch close</x:v>
      </x:c>
      <x:c r="J5" s="7" t="str">
        <x:v>Source date</x:v>
      </x:c>
      <x:c r="K5" s="7" t="str">
        <x:v>Market status</x:v>
      </x:c>
    </x:row>
    <x:row r="6" ht="27" customHeight="1">
      <x:c r="A6" s="8" t="n">
        <x:v>46296</x:v>
      </x:c>
      <x:c r="B6" s="2" t="str">
        <x:v>FANUC</x:v>
      </x:c>
      <x:c r="C6" s="2" t="str">
        <x:v>6954</x:v>
      </x:c>
      <x:c r="D6" s="2" t="str">
        <x:v>6954.T</x:v>
      </x:c>
      <x:c r="E6" s="2" t="str">
        <x:v>XJPX</x:v>
      </x:c>
      <x:c r="F6" s="2" t="str">
        <x:v>JPY</x:v>
      </x:c>
      <x:c r="G6" s="17"/>
      <x:c r="H6" s="34" t="n">
        <x:v>6127</x:v>
      </x:c>
      <x:c r="I6" s="34" t="n">
        <x:v>6127</x:v>
      </x:c>
      <x:c r="J6" s="8" t="n">
        <x:v>46296</x:v>
      </x:c>
      <x:c r="K6" s="2" t="str">
        <x:v>Open</x:v>
      </x:c>
    </x:row>
    <x:row r="7" ht="27" customHeight="1">
      <x:c r="A7" s="9" t="n">
        <x:v>46296</x:v>
      </x:c>
      <x:c r="B7" s="10" t="str">
        <x:v>Yaskawa Electric</x:v>
      </x:c>
      <x:c r="C7" s="10" t="str">
        <x:v>6506</x:v>
      </x:c>
      <x:c r="D7" s="10" t="str">
        <x:v>6506.T</x:v>
      </x:c>
      <x:c r="E7" s="10" t="str">
        <x:v>XJPX</x:v>
      </x:c>
      <x:c r="F7" s="10" t="str">
        <x:v>JPY</x:v>
      </x:c>
      <x:c r="G7" s="33"/>
      <x:c r="H7" s="35" t="n">
        <x:v>4779</x:v>
      </x:c>
      <x:c r="I7" s="35" t="n">
        <x:v>4779</x:v>
      </x:c>
      <x:c r="J7" s="9" t="n">
        <x:v>46296</x:v>
      </x:c>
      <x:c r="K7" s="10" t="str">
        <x:v>Open</x:v>
      </x:c>
    </x:row>
    <x:row r="8" ht="27" customHeight="1">
      <x:c r="A8" s="8" t="n">
        <x:v>46296</x:v>
      </x:c>
      <x:c r="B8" s="2" t="str">
        <x:v>Estun Automation</x:v>
      </x:c>
      <x:c r="C8" s="13" t="str">
        <x:v>002747</x:v>
      </x:c>
      <x:c r="D8" s="2" t="str">
        <x:v>002747.SZ</x:v>
      </x:c>
      <x:c r="E8" s="2" t="str">
        <x:v>XSHE</x:v>
      </x:c>
      <x:c r="F8" s="2" t="str">
        <x:v>CNY</x:v>
      </x:c>
      <x:c r="G8" s="17"/>
      <x:c r="H8" s="34" t="n">
        <x:v>28.22</x:v>
      </x:c>
      <x:c r="I8" s="34" t="n">
        <x:v>28.22</x:v>
      </x:c>
      <x:c r="J8" s="8" t="n">
        <x:v>46295</x:v>
      </x:c>
      <x:c r="K8" s="2" t="str">
        <x:v>Verified closure</x:v>
      </x:c>
    </x:row>
    <x:row r="9" ht="27" customHeight="1">
      <x:c r="A9" s="9" t="n">
        <x:v>46296</x:v>
      </x:c>
      <x:c r="B9" s="10" t="str">
        <x:v>Teradyne</x:v>
      </x:c>
      <x:c r="C9" s="10" t="str">
        <x:v>TER</x:v>
      </x:c>
      <x:c r="D9" s="10" t="str">
        <x:v>TER</x:v>
      </x:c>
      <x:c r="E9" s="10" t="str">
        <x:v>XNAS</x:v>
      </x:c>
      <x:c r="F9" s="10" t="str">
        <x:v>USD</x:v>
      </x:c>
      <x:c r="G9" s="33"/>
      <x:c r="H9" s="35" t="n">
        <x:v>415.79</x:v>
      </x:c>
      <x:c r="I9" s="35" t="n">
        <x:v>415.79</x:v>
      </x:c>
      <x:c r="J9" s="9" t="n">
        <x:v>46296</x:v>
      </x:c>
      <x:c r="K9" s="10" t="str">
        <x:v>Open</x:v>
      </x:c>
    </x:row>
    <x:row r="10" ht="27" customHeight="1">
      <x:c r="A10" s="8" t="n">
        <x:v>46296</x:v>
      </x:c>
      <x:c r="B10" s="2" t="str">
        <x:v>Nabtesco</x:v>
      </x:c>
      <x:c r="C10" s="2" t="str">
        <x:v>6268</x:v>
      </x:c>
      <x:c r="D10" s="2" t="str">
        <x:v>6268.T</x:v>
      </x:c>
      <x:c r="E10" s="2" t="str">
        <x:v>XJPX</x:v>
      </x:c>
      <x:c r="F10" s="2" t="str">
        <x:v>JPY</x:v>
      </x:c>
      <x:c r="G10" s="17"/>
      <x:c r="H10" s="34" t="n">
        <x:v>4975</x:v>
      </x:c>
      <x:c r="I10" s="34" t="n">
        <x:v>4975</x:v>
      </x:c>
      <x:c r="J10" s="8" t="n">
        <x:v>46296</x:v>
      </x:c>
      <x:c r="K10" s="2" t="str">
        <x:v>Open</x:v>
      </x:c>
    </x:row>
    <x:row r="11" ht="27" customHeight="1">
      <x:c r="A11" s="9" t="n">
        <x:v>46296</x:v>
      </x:c>
      <x:c r="B11" s="10" t="str">
        <x:v>Inovance</x:v>
      </x:c>
      <x:c r="C11" s="10" t="str">
        <x:v>300124</x:v>
      </x:c>
      <x:c r="D11" s="10" t="str">
        <x:v>300124.SZ</x:v>
      </x:c>
      <x:c r="E11" s="10" t="str">
        <x:v>XSHE</x:v>
      </x:c>
      <x:c r="F11" s="10" t="str">
        <x:v>CNY</x:v>
      </x:c>
      <x:c r="G11" s="33"/>
      <x:c r="H11" s="35" t="n">
        <x:v>51.9</x:v>
      </x:c>
      <x:c r="I11" s="35" t="n">
        <x:v>51.9</x:v>
      </x:c>
      <x:c r="J11" s="9" t="n">
        <x:v>46295</x:v>
      </x:c>
      <x:c r="K11" s="10" t="str">
        <x:v>Verified closure</x:v>
      </x:c>
    </x:row>
    <x:row r="12" ht="27" customHeight="1">
      <x:c r="A12" s="8" t="n">
        <x:v>46296</x:v>
      </x:c>
      <x:c r="B12" s="2" t="str">
        <x:v>Keyence</x:v>
      </x:c>
      <x:c r="C12" s="2" t="str">
        <x:v>6861</x:v>
      </x:c>
      <x:c r="D12" s="2" t="str">
        <x:v>6861.T</x:v>
      </x:c>
      <x:c r="E12" s="2" t="str">
        <x:v>XJPX</x:v>
      </x:c>
      <x:c r="F12" s="2" t="str">
        <x:v>JPY</x:v>
      </x:c>
      <x:c r="G12" s="17"/>
      <x:c r="H12" s="34" t="n">
        <x:v>81200</x:v>
      </x:c>
      <x:c r="I12" s="34" t="n">
        <x:v>81200</x:v>
      </x:c>
      <x:c r="J12" s="8" t="n">
        <x:v>46296</x:v>
      </x:c>
      <x:c r="K12" s="2" t="str">
        <x:v>Open</x:v>
      </x:c>
    </x:row>
    <x:row r="13" ht="27" customHeight="1">
      <x:c r="A13" s="9" t="n">
        <x:v>46296</x:v>
      </x:c>
      <x:c r="B13" s="10" t="str">
        <x:v>Cognex</x:v>
      </x:c>
      <x:c r="C13" s="10" t="str">
        <x:v>CGNX</x:v>
      </x:c>
      <x:c r="D13" s="10" t="str">
        <x:v>CGNX</x:v>
      </x:c>
      <x:c r="E13" s="10" t="str">
        <x:v>XNAS</x:v>
      </x:c>
      <x:c r="F13" s="10" t="str">
        <x:v>USD</x:v>
      </x:c>
      <x:c r="G13" s="33"/>
      <x:c r="H13" s="35" t="n">
        <x:v>62.22</x:v>
      </x:c>
      <x:c r="I13" s="35" t="n">
        <x:v>62.22</x:v>
      </x:c>
      <x:c r="J13" s="9" t="n">
        <x:v>46296</x:v>
      </x:c>
      <x:c r="K13" s="10" t="str">
        <x:v>Open</x:v>
      </x:c>
    </x:row>
    <x:row r="14" ht="27" customHeight="1">
      <x:c r="A14" s="8" t="n">
        <x:v>46296</x:v>
      </x:c>
      <x:c r="B14" s="2" t="str">
        <x:v>Ouster</x:v>
      </x:c>
      <x:c r="C14" s="2" t="str">
        <x:v>OUST</x:v>
      </x:c>
      <x:c r="D14" s="2" t="str">
        <x:v>OUST</x:v>
      </x:c>
      <x:c r="E14" s="2" t="str">
        <x:v>XNAS</x:v>
      </x:c>
      <x:c r="F14" s="2" t="str">
        <x:v>USD</x:v>
      </x:c>
      <x:c r="G14" s="17"/>
      <x:c r="H14" s="34" t="n">
        <x:v>40.87</x:v>
      </x:c>
      <x:c r="I14" s="34" t="n">
        <x:v>40.87</x:v>
      </x:c>
      <x:c r="J14" s="8" t="n">
        <x:v>46296</x:v>
      </x:c>
      <x:c r="K14" s="2" t="str">
        <x:v>Open</x:v>
      </x:c>
    </x:row>
    <x:row r="15" ht="27" customHeight="1">
      <x:c r="A15" s="9" t="n">
        <x:v>46296</x:v>
      </x:c>
      <x:c r="B15" s="10" t="str">
        <x:v>Hesai</x:v>
      </x:c>
      <x:c r="C15" s="10" t="str">
        <x:v>HSAI</x:v>
      </x:c>
      <x:c r="D15" s="10" t="str">
        <x:v>HSAI</x:v>
      </x:c>
      <x:c r="E15" s="10" t="str">
        <x:v>XNAS</x:v>
      </x:c>
      <x:c r="F15" s="10" t="str">
        <x:v>USD</x:v>
      </x:c>
      <x:c r="G15" s="33"/>
      <x:c r="H15" s="35" t="n">
        <x:v>15.93</x:v>
      </x:c>
      <x:c r="I15" s="35" t="n">
        <x:v>15.93</x:v>
      </x:c>
      <x:c r="J15" s="9" t="n">
        <x:v>46296</x:v>
      </x:c>
      <x:c r="K15" s="10" t="str">
        <x:v>Open</x:v>
      </x:c>
    </x:row>
    <x:row r="16" ht="27" customHeight="1">
      <x:c r="A16" s="8" t="n">
        <x:v>46296</x:v>
      </x:c>
      <x:c r="B16" s="2" t="str">
        <x:v>Rockwell Automation</x:v>
      </x:c>
      <x:c r="C16" s="2" t="str">
        <x:v>ROK</x:v>
      </x:c>
      <x:c r="D16" s="2" t="str">
        <x:v>ROK</x:v>
      </x:c>
      <x:c r="E16" s="2" t="str">
        <x:v>XNYS</x:v>
      </x:c>
      <x:c r="F16" s="2" t="str">
        <x:v>USD</x:v>
      </x:c>
      <x:c r="G16" s="17"/>
      <x:c r="H16" s="34" t="n">
        <x:v>442.45</x:v>
      </x:c>
      <x:c r="I16" s="34" t="n">
        <x:v>442.45</x:v>
      </x:c>
      <x:c r="J16" s="8" t="n">
        <x:v>46296</x:v>
      </x:c>
      <x:c r="K16" s="2" t="str">
        <x:v>Open</x:v>
      </x:c>
    </x:row>
    <x:row r="17" ht="27" customHeight="1">
      <x:c r="A17" s="9" t="n">
        <x:v>46296</x:v>
      </x:c>
      <x:c r="B17" s="10" t="str">
        <x:v>Siemens</x:v>
      </x:c>
      <x:c r="C17" s="10" t="str">
        <x:v>SIE</x:v>
      </x:c>
      <x:c r="D17" s="10" t="str">
        <x:v>SIE.DE</x:v>
      </x:c>
      <x:c r="E17" s="10" t="str">
        <x:v>XETR</x:v>
      </x:c>
      <x:c r="F17" s="10" t="str">
        <x:v>EUR</x:v>
      </x:c>
      <x:c r="G17" s="33"/>
      <x:c r="H17" s="35" t="n">
        <x:v>271.9</x:v>
      </x:c>
      <x:c r="I17" s="35" t="n">
        <x:v>271.9</x:v>
      </x:c>
      <x:c r="J17" s="9" t="n">
        <x:v>46296</x:v>
      </x:c>
      <x:c r="K17" s="10" t="str">
        <x:v>Open</x:v>
      </x:c>
    </x:row>
    <x:row r="18" ht="27" customHeight="1">
      <x:c r="A18" s="8" t="n">
        <x:v>46296</x:v>
      </x:c>
      <x:c r="B18" s="2" t="str">
        <x:v>NXP Semiconductors</x:v>
      </x:c>
      <x:c r="C18" s="2" t="str">
        <x:v>NXPI</x:v>
      </x:c>
      <x:c r="D18" s="2" t="str">
        <x:v>NXPI</x:v>
      </x:c>
      <x:c r="E18" s="2" t="str">
        <x:v>XNAS</x:v>
      </x:c>
      <x:c r="F18" s="2" t="str">
        <x:v>USD</x:v>
      </x:c>
      <x:c r="G18" s="17"/>
      <x:c r="H18" s="34" t="n">
        <x:v>239.19</x:v>
      </x:c>
      <x:c r="I18" s="34" t="n">
        <x:v>239.19</x:v>
      </x:c>
      <x:c r="J18" s="8" t="n">
        <x:v>46296</x:v>
      </x:c>
      <x:c r="K18" s="2" t="str">
        <x:v>Open</x:v>
      </x:c>
    </x:row>
    <x:row r="19" ht="27" customHeight="1">
      <x:c r="A19" s="9" t="n">
        <x:v>46296</x:v>
      </x:c>
      <x:c r="B19" s="10" t="str">
        <x:v>Daifuku</x:v>
      </x:c>
      <x:c r="C19" s="10" t="str">
        <x:v>6383</x:v>
      </x:c>
      <x:c r="D19" s="10" t="str">
        <x:v>6383.T</x:v>
      </x:c>
      <x:c r="E19" s="10" t="str">
        <x:v>XJPX</x:v>
      </x:c>
      <x:c r="F19" s="10" t="str">
        <x:v>JPY</x:v>
      </x:c>
      <x:c r="G19" s="33"/>
      <x:c r="H19" s="35" t="n">
        <x:v>5832</x:v>
      </x:c>
      <x:c r="I19" s="35" t="n">
        <x:v>5832</x:v>
      </x:c>
      <x:c r="J19" s="9" t="n">
        <x:v>46296</x:v>
      </x:c>
      <x:c r="K19" s="10" t="str">
        <x:v>Open</x:v>
      </x:c>
    </x:row>
    <x:row r="20" ht="27" customHeight="1">
      <x:c r="A20" s="8" t="n">
        <x:v>46296</x:v>
      </x:c>
      <x:c r="B20" s="2" t="str">
        <x:v>Hexagon</x:v>
      </x:c>
      <x:c r="C20" s="2" t="str">
        <x:v>HEXA B</x:v>
      </x:c>
      <x:c r="D20" s="2" t="str">
        <x:v>HEXA-B.ST</x:v>
      </x:c>
      <x:c r="E20" s="2" t="str">
        <x:v>XSTO</x:v>
      </x:c>
      <x:c r="F20" s="2" t="str">
        <x:v>SEK</x:v>
      </x:c>
      <x:c r="G20" s="17"/>
      <x:c r="H20" s="34" t="n">
        <x:v>99.02</x:v>
      </x:c>
      <x:c r="I20" s="34" t="n">
        <x:v>99.02</x:v>
      </x:c>
      <x:c r="J20" s="8" t="n">
        <x:v>46296</x:v>
      </x:c>
      <x:c r="K20" s="2" t="str">
        <x:v>Open</x:v>
      </x:c>
    </x:row>
    <x:row r="21" ht="27" customHeight="1">
      <x:c r="A21" s="9" t="n">
        <x:v>46296</x:v>
      </x:c>
      <x:c r="B21" s="10" t="str">
        <x:v>S&amp;P 500</x:v>
      </x:c>
      <x:c r="C21" s="10" t="str">
        <x:v>S&amp;P 500</x:v>
      </x:c>
      <x:c r="D21" s="10" t="str">
        <x:v>GSPC.INDX</x:v>
      </x:c>
      <x:c r="E21" s="10" t="str">
        <x:v>INDX</x:v>
      </x:c>
      <x:c r="F21" s="10" t="str">
        <x:v>USD</x:v>
      </x:c>
      <x:c r="G21" s="33"/>
      <x:c r="H21" s="35" t="n">
        <x:v>7666.45</x:v>
      </x:c>
      <x:c r="I21" s="35" t="n">
        <x:v>7666.45</x:v>
      </x:c>
      <x:c r="J21" s="9" t="n">
        <x:v>46296</x:v>
      </x:c>
      <x:c r="K21" s="10" t="str">
        <x:v>Open</x:v>
      </x:c>
    </x:row>
    <x:row r="22" ht="27" customHeight="1">
      <x:c r="A22" s="8" t="n">
        <x:v>46296</x:v>
      </x:c>
      <x:c r="B22" s="2" t="str">
        <x:v>Nasdaq Composite</x:v>
      </x:c>
      <x:c r="C22" s="2" t="str">
        <x:v>Nasdaq Composite</x:v>
      </x:c>
      <x:c r="D22" s="2" t="str">
        <x:v>IXIC.INDX</x:v>
      </x:c>
      <x:c r="E22" s="2" t="str">
        <x:v>INDX</x:v>
      </x:c>
      <x:c r="F22" s="2" t="str">
        <x:v>USD</x:v>
      </x:c>
      <x:c r="G22" s="17"/>
      <x:c r="H22" s="34" t="n">
        <x:v>26871.5957</x:v>
      </x:c>
      <x:c r="I22" s="34" t="n">
        <x:v>26871.5957</x:v>
      </x:c>
      <x:c r="J22" s="8" t="n">
        <x:v>46296</x:v>
      </x:c>
      <x:c r="K22" s="2" t="str">
        <x:v>Open</x:v>
      </x:c>
    </x:row>
    <x:row r="23" ht="27" customHeight="1">
      <x:c r="A23" s="9" t="n">
        <x:v>46297</x:v>
      </x:c>
      <x:c r="B23" s="10" t="str">
        <x:v>FANUC</x:v>
      </x:c>
      <x:c r="C23" s="10" t="str">
        <x:v>6954</x:v>
      </x:c>
      <x:c r="D23" s="10" t="str">
        <x:v>6954.T</x:v>
      </x:c>
      <x:c r="E23" s="10" t="str">
        <x:v>XJPX</x:v>
      </x:c>
      <x:c r="F23" s="10" t="str">
        <x:v>JPY</x:v>
      </x:c>
      <x:c r="G23" s="33" t="n">
        <x:f>H6</x:f>
        <x:v>6127</x:v>
      </x:c>
      <x:c r="H23" s="35" t="n">
        <x:v>6075</x:v>
      </x:c>
      <x:c r="I23" s="35" t="n">
        <x:v>6127</x:v>
      </x:c>
      <x:c r="J23" s="9" t="n">
        <x:v>46297</x:v>
      </x:c>
      <x:c r="K23" s="10" t="str">
        <x:v>Open</x:v>
      </x:c>
    </x:row>
    <x:row r="24" ht="27" customHeight="1">
      <x:c r="A24" s="8" t="n">
        <x:v>46297</x:v>
      </x:c>
      <x:c r="B24" s="2" t="str">
        <x:v>Yaskawa Electric</x:v>
      </x:c>
      <x:c r="C24" s="2" t="str">
        <x:v>6506</x:v>
      </x:c>
      <x:c r="D24" s="2" t="str">
        <x:v>6506.T</x:v>
      </x:c>
      <x:c r="E24" s="2" t="str">
        <x:v>XJPX</x:v>
      </x:c>
      <x:c r="F24" s="2" t="str">
        <x:v>JPY</x:v>
      </x:c>
      <x:c r="G24" s="17" t="n">
        <x:f>H7</x:f>
        <x:v>4779</x:v>
      </x:c>
      <x:c r="H24" s="34" t="n">
        <x:v>4806</x:v>
      </x:c>
      <x:c r="I24" s="34" t="n">
        <x:v>4779</x:v>
      </x:c>
      <x:c r="J24" s="8" t="n">
        <x:v>46297</x:v>
      </x:c>
      <x:c r="K24" s="2" t="str">
        <x:v>Open</x:v>
      </x:c>
    </x:row>
    <x:row r="25" ht="27" customHeight="1">
      <x:c r="A25" s="9" t="n">
        <x:v>46297</x:v>
      </x:c>
      <x:c r="B25" s="10" t="str">
        <x:v>Estun Automation</x:v>
      </x:c>
      <x:c r="C25" s="15" t="str">
        <x:v>002747</x:v>
      </x:c>
      <x:c r="D25" s="10" t="str">
        <x:v>002747.SZ</x:v>
      </x:c>
      <x:c r="E25" s="10" t="str">
        <x:v>XSHE</x:v>
      </x:c>
      <x:c r="F25" s="10" t="str">
        <x:v>CNY</x:v>
      </x:c>
      <x:c r="G25" s="33" t="n">
        <x:f>H8</x:f>
        <x:v>28.22</x:v>
      </x:c>
      <x:c r="H25" s="35" t="n">
        <x:v>28.22</x:v>
      </x:c>
      <x:c r="I25" s="35" t="n">
        <x:v>28.22</x:v>
      </x:c>
      <x:c r="J25" s="9" t="n">
        <x:v>46295</x:v>
      </x:c>
      <x:c r="K25" s="10" t="str">
        <x:v>Verified closure</x:v>
      </x:c>
    </x:row>
    <x:row r="26" ht="27" customHeight="1">
      <x:c r="A26" s="8" t="n">
        <x:v>46297</x:v>
      </x:c>
      <x:c r="B26" s="2" t="str">
        <x:v>Teradyne</x:v>
      </x:c>
      <x:c r="C26" s="2" t="str">
        <x:v>TER</x:v>
      </x:c>
      <x:c r="D26" s="2" t="str">
        <x:v>TER</x:v>
      </x:c>
      <x:c r="E26" s="2" t="str">
        <x:v>XNAS</x:v>
      </x:c>
      <x:c r="F26" s="2" t="str">
        <x:v>USD</x:v>
      </x:c>
      <x:c r="G26" s="17" t="n">
        <x:f>H9</x:f>
        <x:v>415.79</x:v>
      </x:c>
      <x:c r="H26" s="34" t="n">
        <x:v>449.04</x:v>
      </x:c>
      <x:c r="I26" s="34" t="n">
        <x:v>415.79</x:v>
      </x:c>
      <x:c r="J26" s="8" t="n">
        <x:v>46297</x:v>
      </x:c>
      <x:c r="K26" s="2" t="str">
        <x:v>Open</x:v>
      </x:c>
    </x:row>
    <x:row r="27" ht="27" customHeight="1">
      <x:c r="A27" s="9" t="n">
        <x:v>46297</x:v>
      </x:c>
      <x:c r="B27" s="10" t="str">
        <x:v>Nabtesco</x:v>
      </x:c>
      <x:c r="C27" s="10" t="str">
        <x:v>6268</x:v>
      </x:c>
      <x:c r="D27" s="10" t="str">
        <x:v>6268.T</x:v>
      </x:c>
      <x:c r="E27" s="10" t="str">
        <x:v>XJPX</x:v>
      </x:c>
      <x:c r="F27" s="10" t="str">
        <x:v>JPY</x:v>
      </x:c>
      <x:c r="G27" s="33" t="n">
        <x:f>H10</x:f>
        <x:v>4975</x:v>
      </x:c>
      <x:c r="H27" s="35" t="n">
        <x:v>4926</x:v>
      </x:c>
      <x:c r="I27" s="35" t="n">
        <x:v>4975</x:v>
      </x:c>
      <x:c r="J27" s="9" t="n">
        <x:v>46297</x:v>
      </x:c>
      <x:c r="K27" s="10" t="str">
        <x:v>Open</x:v>
      </x:c>
    </x:row>
    <x:row r="28" ht="27" customHeight="1">
      <x:c r="A28" s="8" t="n">
        <x:v>46297</x:v>
      </x:c>
      <x:c r="B28" s="2" t="str">
        <x:v>Inovance</x:v>
      </x:c>
      <x:c r="C28" s="2" t="str">
        <x:v>300124</x:v>
      </x:c>
      <x:c r="D28" s="2" t="str">
        <x:v>300124.SZ</x:v>
      </x:c>
      <x:c r="E28" s="2" t="str">
        <x:v>XSHE</x:v>
      </x:c>
      <x:c r="F28" s="2" t="str">
        <x:v>CNY</x:v>
      </x:c>
      <x:c r="G28" s="17" t="n">
        <x:f>H11</x:f>
        <x:v>51.9</x:v>
      </x:c>
      <x:c r="H28" s="34" t="n">
        <x:v>51.9</x:v>
      </x:c>
      <x:c r="I28" s="34" t="n">
        <x:v>51.9</x:v>
      </x:c>
      <x:c r="J28" s="8" t="n">
        <x:v>46295</x:v>
      </x:c>
      <x:c r="K28" s="2" t="str">
        <x:v>Verified closure</x:v>
      </x:c>
    </x:row>
    <x:row r="29" ht="27" customHeight="1">
      <x:c r="A29" s="9" t="n">
        <x:v>46297</x:v>
      </x:c>
      <x:c r="B29" s="10" t="str">
        <x:v>Keyence</x:v>
      </x:c>
      <x:c r="C29" s="10" t="str">
        <x:v>6861</x:v>
      </x:c>
      <x:c r="D29" s="10" t="str">
        <x:v>6861.T</x:v>
      </x:c>
      <x:c r="E29" s="10" t="str">
        <x:v>XJPX</x:v>
      </x:c>
      <x:c r="F29" s="10" t="str">
        <x:v>JPY</x:v>
      </x:c>
      <x:c r="G29" s="33" t="n">
        <x:f>H12</x:f>
        <x:v>81200</x:v>
      </x:c>
      <x:c r="H29" s="35" t="n">
        <x:v>80270</x:v>
      </x:c>
      <x:c r="I29" s="35" t="n">
        <x:v>81200</x:v>
      </x:c>
      <x:c r="J29" s="9" t="n">
        <x:v>46297</x:v>
      </x:c>
      <x:c r="K29" s="10" t="str">
        <x:v>Open</x:v>
      </x:c>
    </x:row>
    <x:row r="30" ht="27" customHeight="1">
      <x:c r="A30" s="8" t="n">
        <x:v>46297</x:v>
      </x:c>
      <x:c r="B30" s="2" t="str">
        <x:v>Cognex</x:v>
      </x:c>
      <x:c r="C30" s="2" t="str">
        <x:v>CGNX</x:v>
      </x:c>
      <x:c r="D30" s="2" t="str">
        <x:v>CGNX</x:v>
      </x:c>
      <x:c r="E30" s="2" t="str">
        <x:v>XNAS</x:v>
      </x:c>
      <x:c r="F30" s="2" t="str">
        <x:v>USD</x:v>
      </x:c>
      <x:c r="G30" s="17" t="n">
        <x:f>H13</x:f>
        <x:v>62.22</x:v>
      </x:c>
      <x:c r="H30" s="34" t="n">
        <x:v>64.97</x:v>
      </x:c>
      <x:c r="I30" s="34" t="n">
        <x:v>62.22</x:v>
      </x:c>
      <x:c r="J30" s="8" t="n">
        <x:v>46297</x:v>
      </x:c>
      <x:c r="K30" s="2" t="str">
        <x:v>Open</x:v>
      </x:c>
    </x:row>
    <x:row r="31" ht="27" customHeight="1">
      <x:c r="A31" s="9" t="n">
        <x:v>46297</x:v>
      </x:c>
      <x:c r="B31" s="10" t="str">
        <x:v>Ouster</x:v>
      </x:c>
      <x:c r="C31" s="10" t="str">
        <x:v>OUST</x:v>
      </x:c>
      <x:c r="D31" s="10" t="str">
        <x:v>OUST</x:v>
      </x:c>
      <x:c r="E31" s="10" t="str">
        <x:v>XNAS</x:v>
      </x:c>
      <x:c r="F31" s="10" t="str">
        <x:v>USD</x:v>
      </x:c>
      <x:c r="G31" s="33" t="n">
        <x:f>H14</x:f>
        <x:v>40.87</x:v>
      </x:c>
      <x:c r="H31" s="35" t="n">
        <x:v>44.39</x:v>
      </x:c>
      <x:c r="I31" s="35" t="n">
        <x:v>40.87</x:v>
      </x:c>
      <x:c r="J31" s="9" t="n">
        <x:v>46297</x:v>
      </x:c>
      <x:c r="K31" s="10" t="str">
        <x:v>Open</x:v>
      </x:c>
    </x:row>
    <x:row r="32" ht="27" customHeight="1">
      <x:c r="A32" s="8" t="n">
        <x:v>46297</x:v>
      </x:c>
      <x:c r="B32" s="2" t="str">
        <x:v>Hesai</x:v>
      </x:c>
      <x:c r="C32" s="2" t="str">
        <x:v>HSAI</x:v>
      </x:c>
      <x:c r="D32" s="2" t="str">
        <x:v>HSAI</x:v>
      </x:c>
      <x:c r="E32" s="2" t="str">
        <x:v>XNAS</x:v>
      </x:c>
      <x:c r="F32" s="2" t="str">
        <x:v>USD</x:v>
      </x:c>
      <x:c r="G32" s="17" t="n">
        <x:f>H15</x:f>
        <x:v>15.93</x:v>
      </x:c>
      <x:c r="H32" s="34" t="n">
        <x:v>15.38</x:v>
      </x:c>
      <x:c r="I32" s="34" t="n">
        <x:v>15.93</x:v>
      </x:c>
      <x:c r="J32" s="8" t="n">
        <x:v>46297</x:v>
      </x:c>
      <x:c r="K32" s="2" t="str">
        <x:v>Open</x:v>
      </x:c>
    </x:row>
    <x:row r="33" ht="27" customHeight="1">
      <x:c r="A33" s="9" t="n">
        <x:v>46297</x:v>
      </x:c>
      <x:c r="B33" s="10" t="str">
        <x:v>Rockwell Automation</x:v>
      </x:c>
      <x:c r="C33" s="10" t="str">
        <x:v>ROK</x:v>
      </x:c>
      <x:c r="D33" s="10" t="str">
        <x:v>ROK</x:v>
      </x:c>
      <x:c r="E33" s="10" t="str">
        <x:v>XNYS</x:v>
      </x:c>
      <x:c r="F33" s="10" t="str">
        <x:v>USD</x:v>
      </x:c>
      <x:c r="G33" s="33" t="n">
        <x:f>H16</x:f>
        <x:v>442.45</x:v>
      </x:c>
      <x:c r="H33" s="35" t="n">
        <x:v>454.35</x:v>
      </x:c>
      <x:c r="I33" s="35" t="n">
        <x:v>442.45</x:v>
      </x:c>
      <x:c r="J33" s="9" t="n">
        <x:v>46297</x:v>
      </x:c>
      <x:c r="K33" s="10" t="str">
        <x:v>Open</x:v>
      </x:c>
    </x:row>
    <x:row r="34" ht="27" customHeight="1">
      <x:c r="A34" s="8" t="n">
        <x:v>46297</x:v>
      </x:c>
      <x:c r="B34" s="2" t="str">
        <x:v>Siemens</x:v>
      </x:c>
      <x:c r="C34" s="2" t="str">
        <x:v>SIE</x:v>
      </x:c>
      <x:c r="D34" s="2" t="str">
        <x:v>SIE.DE</x:v>
      </x:c>
      <x:c r="E34" s="2" t="str">
        <x:v>XETR</x:v>
      </x:c>
      <x:c r="F34" s="2" t="str">
        <x:v>EUR</x:v>
      </x:c>
      <x:c r="G34" s="17" t="n">
        <x:f>H17</x:f>
        <x:v>271.9</x:v>
      </x:c>
      <x:c r="H34" s="34" t="n">
        <x:v>276.1</x:v>
      </x:c>
      <x:c r="I34" s="34" t="n">
        <x:v>271.9</x:v>
      </x:c>
      <x:c r="J34" s="8" t="n">
        <x:v>46297</x:v>
      </x:c>
      <x:c r="K34" s="2" t="str">
        <x:v>Open</x:v>
      </x:c>
    </x:row>
    <x:row r="35" ht="27" customHeight="1">
      <x:c r="A35" s="9" t="n">
        <x:v>46297</x:v>
      </x:c>
      <x:c r="B35" s="10" t="str">
        <x:v>NXP Semiconductors</x:v>
      </x:c>
      <x:c r="C35" s="10" t="str">
        <x:v>NXPI</x:v>
      </x:c>
      <x:c r="D35" s="10" t="str">
        <x:v>NXPI</x:v>
      </x:c>
      <x:c r="E35" s="10" t="str">
        <x:v>XNAS</x:v>
      </x:c>
      <x:c r="F35" s="10" t="str">
        <x:v>USD</x:v>
      </x:c>
      <x:c r="G35" s="33" t="n">
        <x:f>H18</x:f>
        <x:v>239.19</x:v>
      </x:c>
      <x:c r="H35" s="35" t="n">
        <x:v>243.66</x:v>
      </x:c>
      <x:c r="I35" s="35" t="n">
        <x:v>239.19</x:v>
      </x:c>
      <x:c r="J35" s="9" t="n">
        <x:v>46297</x:v>
      </x:c>
      <x:c r="K35" s="10" t="str">
        <x:v>Open</x:v>
      </x:c>
    </x:row>
    <x:row r="36" ht="27" customHeight="1">
      <x:c r="A36" s="8" t="n">
        <x:v>46297</x:v>
      </x:c>
      <x:c r="B36" s="2" t="str">
        <x:v>Daifuku</x:v>
      </x:c>
      <x:c r="C36" s="2" t="str">
        <x:v>6383</x:v>
      </x:c>
      <x:c r="D36" s="2" t="str">
        <x:v>6383.T</x:v>
      </x:c>
      <x:c r="E36" s="2" t="str">
        <x:v>XJPX</x:v>
      </x:c>
      <x:c r="F36" s="2" t="str">
        <x:v>JPY</x:v>
      </x:c>
      <x:c r="G36" s="17" t="n">
        <x:f>H19</x:f>
        <x:v>5832</x:v>
      </x:c>
      <x:c r="H36" s="34" t="n">
        <x:v>5851</x:v>
      </x:c>
      <x:c r="I36" s="34" t="n">
        <x:v>5832</x:v>
      </x:c>
      <x:c r="J36" s="8" t="n">
        <x:v>46297</x:v>
      </x:c>
      <x:c r="K36" s="2" t="str">
        <x:v>Open</x:v>
      </x:c>
    </x:row>
    <x:row r="37" ht="27" customHeight="1">
      <x:c r="A37" s="9" t="n">
        <x:v>46297</x:v>
      </x:c>
      <x:c r="B37" s="10" t="str">
        <x:v>Hexagon</x:v>
      </x:c>
      <x:c r="C37" s="10" t="str">
        <x:v>HEXA B</x:v>
      </x:c>
      <x:c r="D37" s="10" t="str">
        <x:v>HEXA-B.ST</x:v>
      </x:c>
      <x:c r="E37" s="10" t="str">
        <x:v>XSTO</x:v>
      </x:c>
      <x:c r="F37" s="10" t="str">
        <x:v>SEK</x:v>
      </x:c>
      <x:c r="G37" s="33" t="n">
        <x:f>H20</x:f>
        <x:v>99.02</x:v>
      </x:c>
      <x:c r="H37" s="35" t="n">
        <x:v>101.15</x:v>
      </x:c>
      <x:c r="I37" s="35" t="n">
        <x:v>99.02</x:v>
      </x:c>
      <x:c r="J37" s="9" t="n">
        <x:v>46297</x:v>
      </x:c>
      <x:c r="K37" s="10" t="str">
        <x:v>Open</x:v>
      </x:c>
    </x:row>
    <x:row r="38" ht="27" customHeight="1">
      <x:c r="A38" s="8" t="n">
        <x:v>46297</x:v>
      </x:c>
      <x:c r="B38" s="2" t="str">
        <x:v>S&amp;P 500</x:v>
      </x:c>
      <x:c r="C38" s="2" t="str">
        <x:v>S&amp;P 500</x:v>
      </x:c>
      <x:c r="D38" s="2" t="str">
        <x:v>GSPC.INDX</x:v>
      </x:c>
      <x:c r="E38" s="2" t="str">
        <x:v>INDX</x:v>
      </x:c>
      <x:c r="F38" s="2" t="str">
        <x:v>USD</x:v>
      </x:c>
      <x:c r="G38" s="17" t="n">
        <x:f>H21</x:f>
        <x:v>7666.45</x:v>
      </x:c>
      <x:c r="H38" s="34" t="n">
        <x:v>7722.72</x:v>
      </x:c>
      <x:c r="I38" s="34" t="n">
        <x:v>7666.45</x:v>
      </x:c>
      <x:c r="J38" s="8" t="n">
        <x:v>46297</x:v>
      </x:c>
      <x:c r="K38" s="2" t="str">
        <x:v>Open</x:v>
      </x:c>
    </x:row>
    <x:row r="39" ht="27" customHeight="1">
      <x:c r="A39" s="9" t="n">
        <x:v>46297</x:v>
      </x:c>
      <x:c r="B39" s="10" t="str">
        <x:v>Nasdaq Composite</x:v>
      </x:c>
      <x:c r="C39" s="10" t="str">
        <x:v>Nasdaq Composite</x:v>
      </x:c>
      <x:c r="D39" s="10" t="str">
        <x:v>IXIC.INDX</x:v>
      </x:c>
      <x:c r="E39" s="10" t="str">
        <x:v>INDX</x:v>
      </x:c>
      <x:c r="F39" s="10" t="str">
        <x:v>USD</x:v>
      </x:c>
      <x:c r="G39" s="33" t="n">
        <x:f>H22</x:f>
        <x:v>26871.5957</x:v>
      </x:c>
      <x:c r="H39" s="35" t="n">
        <x:v>27190.8594</x:v>
      </x:c>
      <x:c r="I39" s="35" t="n">
        <x:v>26871.5957</x:v>
      </x:c>
      <x:c r="J39" s="9" t="n">
        <x:v>46297</x:v>
      </x:c>
      <x:c r="K39" s="10" t="str">
        <x:v>Open</x:v>
      </x:c>
    </x:row>
    <x:row r="40" ht="27" customHeight="1">
      <x:c r="A40" s="8" t="n">
        <x:v>46300</x:v>
      </x:c>
      <x:c r="B40" s="2" t="str">
        <x:v>FANUC</x:v>
      </x:c>
      <x:c r="C40" s="2" t="str">
        <x:v>6954</x:v>
      </x:c>
      <x:c r="D40" s="2" t="str">
        <x:v>6954.T</x:v>
      </x:c>
      <x:c r="E40" s="2" t="str">
        <x:v>XJPX</x:v>
      </x:c>
      <x:c r="F40" s="2" t="str">
        <x:v>JPY</x:v>
      </x:c>
      <x:c r="G40" s="17" t="n">
        <x:f>H23</x:f>
        <x:v>6075</x:v>
      </x:c>
      <x:c r="H40" s="34" t="n">
        <x:v>6186</x:v>
      </x:c>
      <x:c r="I40" s="34" t="n">
        <x:v>6127</x:v>
      </x:c>
      <x:c r="J40" s="8" t="n">
        <x:v>46300</x:v>
      </x:c>
      <x:c r="K40" s="2" t="str">
        <x:v>Open</x:v>
      </x:c>
    </x:row>
    <x:row r="41" ht="27" customHeight="1">
      <x:c r="A41" s="9" t="n">
        <x:v>46300</x:v>
      </x:c>
      <x:c r="B41" s="10" t="str">
        <x:v>Yaskawa Electric</x:v>
      </x:c>
      <x:c r="C41" s="10" t="str">
        <x:v>6506</x:v>
      </x:c>
      <x:c r="D41" s="10" t="str">
        <x:v>6506.T</x:v>
      </x:c>
      <x:c r="E41" s="10" t="str">
        <x:v>XJPX</x:v>
      </x:c>
      <x:c r="F41" s="10" t="str">
        <x:v>JPY</x:v>
      </x:c>
      <x:c r="G41" s="33" t="n">
        <x:f>H24</x:f>
        <x:v>4806</x:v>
      </x:c>
      <x:c r="H41" s="35" t="n">
        <x:v>4931</x:v>
      </x:c>
      <x:c r="I41" s="35" t="n">
        <x:v>4779</x:v>
      </x:c>
      <x:c r="J41" s="9" t="n">
        <x:v>46300</x:v>
      </x:c>
      <x:c r="K41" s="10" t="str">
        <x:v>Open</x:v>
      </x:c>
    </x:row>
    <x:row r="42" ht="27" customHeight="1">
      <x:c r="A42" s="8" t="n">
        <x:v>46300</x:v>
      </x:c>
      <x:c r="B42" s="2" t="str">
        <x:v>Estun Automation</x:v>
      </x:c>
      <x:c r="C42" s="13" t="str">
        <x:v>002747</x:v>
      </x:c>
      <x:c r="D42" s="2" t="str">
        <x:v>002747.SZ</x:v>
      </x:c>
      <x:c r="E42" s="2" t="str">
        <x:v>XSHE</x:v>
      </x:c>
      <x:c r="F42" s="2" t="str">
        <x:v>CNY</x:v>
      </x:c>
      <x:c r="G42" s="17" t="n">
        <x:f>H25</x:f>
        <x:v>28.22</x:v>
      </x:c>
      <x:c r="H42" s="34" t="n">
        <x:v>28.22</x:v>
      </x:c>
      <x:c r="I42" s="34" t="n">
        <x:v>28.22</x:v>
      </x:c>
      <x:c r="J42" s="8" t="n">
        <x:v>46295</x:v>
      </x:c>
      <x:c r="K42" s="2" t="str">
        <x:v>Verified closure</x:v>
      </x:c>
    </x:row>
    <x:row r="43" ht="27" customHeight="1">
      <x:c r="A43" s="9" t="n">
        <x:v>46300</x:v>
      </x:c>
      <x:c r="B43" s="10" t="str">
        <x:v>Teradyne</x:v>
      </x:c>
      <x:c r="C43" s="10" t="str">
        <x:v>TER</x:v>
      </x:c>
      <x:c r="D43" s="10" t="str">
        <x:v>TER</x:v>
      </x:c>
      <x:c r="E43" s="10" t="str">
        <x:v>XNAS</x:v>
      </x:c>
      <x:c r="F43" s="10" t="str">
        <x:v>USD</x:v>
      </x:c>
      <x:c r="G43" s="33" t="n">
        <x:f>H26</x:f>
        <x:v>449.04</x:v>
      </x:c>
      <x:c r="H43" s="35" t="n">
        <x:v>444.53</x:v>
      </x:c>
      <x:c r="I43" s="35" t="n">
        <x:v>415.79</x:v>
      </x:c>
      <x:c r="J43" s="9" t="n">
        <x:v>46300</x:v>
      </x:c>
      <x:c r="K43" s="10" t="str">
        <x:v>Open</x:v>
      </x:c>
    </x:row>
    <x:row r="44" ht="27" customHeight="1">
      <x:c r="A44" s="8" t="n">
        <x:v>46300</x:v>
      </x:c>
      <x:c r="B44" s="2" t="str">
        <x:v>Nabtesco</x:v>
      </x:c>
      <x:c r="C44" s="2" t="str">
        <x:v>6268</x:v>
      </x:c>
      <x:c r="D44" s="2" t="str">
        <x:v>6268.T</x:v>
      </x:c>
      <x:c r="E44" s="2" t="str">
        <x:v>XJPX</x:v>
      </x:c>
      <x:c r="F44" s="2" t="str">
        <x:v>JPY</x:v>
      </x:c>
      <x:c r="G44" s="17" t="n">
        <x:f>H27</x:f>
        <x:v>4926</x:v>
      </x:c>
      <x:c r="H44" s="34" t="n">
        <x:v>4979</x:v>
      </x:c>
      <x:c r="I44" s="34" t="n">
        <x:v>4975</x:v>
      </x:c>
      <x:c r="J44" s="8" t="n">
        <x:v>46300</x:v>
      </x:c>
      <x:c r="K44" s="2" t="str">
        <x:v>Open</x:v>
      </x:c>
    </x:row>
    <x:row r="45" ht="27" customHeight="1">
      <x:c r="A45" s="9" t="n">
        <x:v>46300</x:v>
      </x:c>
      <x:c r="B45" s="10" t="str">
        <x:v>Inovance</x:v>
      </x:c>
      <x:c r="C45" s="10" t="str">
        <x:v>300124</x:v>
      </x:c>
      <x:c r="D45" s="10" t="str">
        <x:v>300124.SZ</x:v>
      </x:c>
      <x:c r="E45" s="10" t="str">
        <x:v>XSHE</x:v>
      </x:c>
      <x:c r="F45" s="10" t="str">
        <x:v>CNY</x:v>
      </x:c>
      <x:c r="G45" s="33" t="n">
        <x:f>H28</x:f>
        <x:v>51.9</x:v>
      </x:c>
      <x:c r="H45" s="35" t="n">
        <x:v>51.9</x:v>
      </x:c>
      <x:c r="I45" s="35" t="n">
        <x:v>51.9</x:v>
      </x:c>
      <x:c r="J45" s="9" t="n">
        <x:v>46295</x:v>
      </x:c>
      <x:c r="K45" s="10" t="str">
        <x:v>Verified closure</x:v>
      </x:c>
    </x:row>
    <x:row r="46" ht="27" customHeight="1">
      <x:c r="A46" s="8" t="n">
        <x:v>46300</x:v>
      </x:c>
      <x:c r="B46" s="2" t="str">
        <x:v>Keyence</x:v>
      </x:c>
      <x:c r="C46" s="2" t="str">
        <x:v>6861</x:v>
      </x:c>
      <x:c r="D46" s="2" t="str">
        <x:v>6861.T</x:v>
      </x:c>
      <x:c r="E46" s="2" t="str">
        <x:v>XJPX</x:v>
      </x:c>
      <x:c r="F46" s="2" t="str">
        <x:v>JPY</x:v>
      </x:c>
      <x:c r="G46" s="17" t="n">
        <x:f>H29</x:f>
        <x:v>80270</x:v>
      </x:c>
      <x:c r="H46" s="34" t="n">
        <x:v>81680</x:v>
      </x:c>
      <x:c r="I46" s="34" t="n">
        <x:v>81200</x:v>
      </x:c>
      <x:c r="J46" s="8" t="n">
        <x:v>46300</x:v>
      </x:c>
      <x:c r="K46" s="2" t="str">
        <x:v>Open</x:v>
      </x:c>
    </x:row>
    <x:row r="47" ht="27" customHeight="1">
      <x:c r="A47" s="9" t="n">
        <x:v>46300</x:v>
      </x:c>
      <x:c r="B47" s="10" t="str">
        <x:v>Cognex</x:v>
      </x:c>
      <x:c r="C47" s="10" t="str">
        <x:v>CGNX</x:v>
      </x:c>
      <x:c r="D47" s="10" t="str">
        <x:v>CGNX</x:v>
      </x:c>
      <x:c r="E47" s="10" t="str">
        <x:v>XNAS</x:v>
      </x:c>
      <x:c r="F47" s="10" t="str">
        <x:v>USD</x:v>
      </x:c>
      <x:c r="G47" s="33" t="n">
        <x:f>H30</x:f>
        <x:v>64.97</x:v>
      </x:c>
      <x:c r="H47" s="35" t="n">
        <x:v>64.37</x:v>
      </x:c>
      <x:c r="I47" s="35" t="n">
        <x:v>62.22</x:v>
      </x:c>
      <x:c r="J47" s="9" t="n">
        <x:v>46300</x:v>
      </x:c>
      <x:c r="K47" s="10" t="str">
        <x:v>Open</x:v>
      </x:c>
    </x:row>
    <x:row r="48" ht="27" customHeight="1">
      <x:c r="A48" s="8" t="n">
        <x:v>46300</x:v>
      </x:c>
      <x:c r="B48" s="2" t="str">
        <x:v>Ouster</x:v>
      </x:c>
      <x:c r="C48" s="2" t="str">
        <x:v>OUST</x:v>
      </x:c>
      <x:c r="D48" s="2" t="str">
        <x:v>OUST</x:v>
      </x:c>
      <x:c r="E48" s="2" t="str">
        <x:v>XNAS</x:v>
      </x:c>
      <x:c r="F48" s="2" t="str">
        <x:v>USD</x:v>
      </x:c>
      <x:c r="G48" s="17" t="n">
        <x:f>H31</x:f>
        <x:v>44.39</x:v>
      </x:c>
      <x:c r="H48" s="34" t="n">
        <x:v>44.12</x:v>
      </x:c>
      <x:c r="I48" s="34" t="n">
        <x:v>40.87</x:v>
      </x:c>
      <x:c r="J48" s="8" t="n">
        <x:v>46300</x:v>
      </x:c>
      <x:c r="K48" s="2" t="str">
        <x:v>Open</x:v>
      </x:c>
    </x:row>
    <x:row r="49" ht="27" customHeight="1">
      <x:c r="A49" s="9" t="n">
        <x:v>46300</x:v>
      </x:c>
      <x:c r="B49" s="10" t="str">
        <x:v>Hesai</x:v>
      </x:c>
      <x:c r="C49" s="10" t="str">
        <x:v>HSAI</x:v>
      </x:c>
      <x:c r="D49" s="10" t="str">
        <x:v>HSAI</x:v>
      </x:c>
      <x:c r="E49" s="10" t="str">
        <x:v>XNAS</x:v>
      </x:c>
      <x:c r="F49" s="10" t="str">
        <x:v>USD</x:v>
      </x:c>
      <x:c r="G49" s="33" t="n">
        <x:f>H32</x:f>
        <x:v>15.38</x:v>
      </x:c>
      <x:c r="H49" s="35" t="n">
        <x:v>15.91</x:v>
      </x:c>
      <x:c r="I49" s="35" t="n">
        <x:v>15.93</x:v>
      </x:c>
      <x:c r="J49" s="9" t="n">
        <x:v>46300</x:v>
      </x:c>
      <x:c r="K49" s="10" t="str">
        <x:v>Open</x:v>
      </x:c>
    </x:row>
    <x:row r="50" ht="27" customHeight="1">
      <x:c r="A50" s="8" t="n">
        <x:v>46300</x:v>
      </x:c>
      <x:c r="B50" s="2" t="str">
        <x:v>Rockwell Automation</x:v>
      </x:c>
      <x:c r="C50" s="2" t="str">
        <x:v>ROK</x:v>
      </x:c>
      <x:c r="D50" s="2" t="str">
        <x:v>ROK</x:v>
      </x:c>
      <x:c r="E50" s="2" t="str">
        <x:v>XNYS</x:v>
      </x:c>
      <x:c r="F50" s="2" t="str">
        <x:v>USD</x:v>
      </x:c>
      <x:c r="G50" s="17" t="n">
        <x:f>H33</x:f>
        <x:v>454.35</x:v>
      </x:c>
      <x:c r="H50" s="34" t="n">
        <x:v>455.18</x:v>
      </x:c>
      <x:c r="I50" s="34" t="n">
        <x:v>442.45</x:v>
      </x:c>
      <x:c r="J50" s="8" t="n">
        <x:v>46300</x:v>
      </x:c>
      <x:c r="K50" s="2" t="str">
        <x:v>Open</x:v>
      </x:c>
    </x:row>
    <x:row r="51" ht="27" customHeight="1">
      <x:c r="A51" s="9" t="n">
        <x:v>46300</x:v>
      </x:c>
      <x:c r="B51" s="10" t="str">
        <x:v>Siemens</x:v>
      </x:c>
      <x:c r="C51" s="10" t="str">
        <x:v>SIE</x:v>
      </x:c>
      <x:c r="D51" s="10" t="str">
        <x:v>SIE.DE</x:v>
      </x:c>
      <x:c r="E51" s="10" t="str">
        <x:v>XETR</x:v>
      </x:c>
      <x:c r="F51" s="10" t="str">
        <x:v>EUR</x:v>
      </x:c>
      <x:c r="G51" s="33" t="n">
        <x:f>H34</x:f>
        <x:v>276.1</x:v>
      </x:c>
      <x:c r="H51" s="35" t="n">
        <x:v>275</x:v>
      </x:c>
      <x:c r="I51" s="35" t="n">
        <x:v>271.9</x:v>
      </x:c>
      <x:c r="J51" s="9" t="n">
        <x:v>46300</x:v>
      </x:c>
      <x:c r="K51" s="10" t="str">
        <x:v>Open</x:v>
      </x:c>
    </x:row>
    <x:row r="52" ht="27" customHeight="1">
      <x:c r="A52" s="8" t="n">
        <x:v>46300</x:v>
      </x:c>
      <x:c r="B52" s="2" t="str">
        <x:v>NXP Semiconductors</x:v>
      </x:c>
      <x:c r="C52" s="2" t="str">
        <x:v>NXPI</x:v>
      </x:c>
      <x:c r="D52" s="2" t="str">
        <x:v>NXPI</x:v>
      </x:c>
      <x:c r="E52" s="2" t="str">
        <x:v>XNAS</x:v>
      </x:c>
      <x:c r="F52" s="2" t="str">
        <x:v>USD</x:v>
      </x:c>
      <x:c r="G52" s="17" t="n">
        <x:f>H35</x:f>
        <x:v>243.66</x:v>
      </x:c>
      <x:c r="H52" s="34" t="n">
        <x:v>241.97</x:v>
      </x:c>
      <x:c r="I52" s="34" t="n">
        <x:v>239.19</x:v>
      </x:c>
      <x:c r="J52" s="8" t="n">
        <x:v>46300</x:v>
      </x:c>
      <x:c r="K52" s="2" t="str">
        <x:v>Open</x:v>
      </x:c>
    </x:row>
    <x:row r="53" ht="27" customHeight="1">
      <x:c r="A53" s="9" t="n">
        <x:v>46300</x:v>
      </x:c>
      <x:c r="B53" s="10" t="str">
        <x:v>Daifuku</x:v>
      </x:c>
      <x:c r="C53" s="10" t="str">
        <x:v>6383</x:v>
      </x:c>
      <x:c r="D53" s="10" t="str">
        <x:v>6383.T</x:v>
      </x:c>
      <x:c r="E53" s="10" t="str">
        <x:v>XJPX</x:v>
      </x:c>
      <x:c r="F53" s="10" t="str">
        <x:v>JPY</x:v>
      </x:c>
      <x:c r="G53" s="33" t="n">
        <x:f>H36</x:f>
        <x:v>5851</x:v>
      </x:c>
      <x:c r="H53" s="35" t="n">
        <x:v>5874</x:v>
      </x:c>
      <x:c r="I53" s="35" t="n">
        <x:v>5832</x:v>
      </x:c>
      <x:c r="J53" s="9" t="n">
        <x:v>46300</x:v>
      </x:c>
      <x:c r="K53" s="10" t="str">
        <x:v>Open</x:v>
      </x:c>
    </x:row>
    <x:row r="54" ht="27" customHeight="1">
      <x:c r="A54" s="8" t="n">
        <x:v>46300</x:v>
      </x:c>
      <x:c r="B54" s="2" t="str">
        <x:v>Hexagon</x:v>
      </x:c>
      <x:c r="C54" s="2" t="str">
        <x:v>HEXA B</x:v>
      </x:c>
      <x:c r="D54" s="2" t="str">
        <x:v>HEXA-B.ST</x:v>
      </x:c>
      <x:c r="E54" s="2" t="str">
        <x:v>XSTO</x:v>
      </x:c>
      <x:c r="F54" s="2" t="str">
        <x:v>SEK</x:v>
      </x:c>
      <x:c r="G54" s="17" t="n">
        <x:f>H37</x:f>
        <x:v>101.15</x:v>
      </x:c>
      <x:c r="H54" s="34" t="n">
        <x:v>102.15</x:v>
      </x:c>
      <x:c r="I54" s="34" t="n">
        <x:v>99.02</x:v>
      </x:c>
      <x:c r="J54" s="8" t="n">
        <x:v>46300</x:v>
      </x:c>
      <x:c r="K54" s="2" t="str">
        <x:v>Open</x:v>
      </x:c>
    </x:row>
    <x:row r="55" ht="27" customHeight="1">
      <x:c r="A55" s="9" t="n">
        <x:v>46300</x:v>
      </x:c>
      <x:c r="B55" s="10" t="str">
        <x:v>S&amp;P 500</x:v>
      </x:c>
      <x:c r="C55" s="10" t="str">
        <x:v>S&amp;P 500</x:v>
      </x:c>
      <x:c r="D55" s="10" t="str">
        <x:v>GSPC.INDX</x:v>
      </x:c>
      <x:c r="E55" s="10" t="str">
        <x:v>INDX</x:v>
      </x:c>
      <x:c r="F55" s="10" t="str">
        <x:v>USD</x:v>
      </x:c>
      <x:c r="G55" s="33" t="n">
        <x:f>H38</x:f>
        <x:v>7722.72</x:v>
      </x:c>
      <x:c r="H55" s="35" t="n">
        <x:v>7773.950195</x:v>
      </x:c>
      <x:c r="I55" s="35" t="n">
        <x:v>7666.45</x:v>
      </x:c>
      <x:c r="J55" s="9" t="n">
        <x:v>46300</x:v>
      </x:c>
      <x:c r="K55" s="10" t="str">
        <x:v>Open</x:v>
      </x:c>
    </x:row>
    <x:row r="56" ht="27" customHeight="1">
      <x:c r="A56" s="8" t="n">
        <x:v>46300</x:v>
      </x:c>
      <x:c r="B56" s="2" t="str">
        <x:v>Nasdaq Composite</x:v>
      </x:c>
      <x:c r="C56" s="2" t="str">
        <x:v>Nasdaq Composite</x:v>
      </x:c>
      <x:c r="D56" s="2" t="str">
        <x:v>IXIC.INDX</x:v>
      </x:c>
      <x:c r="E56" s="2" t="str">
        <x:v>INDX</x:v>
      </x:c>
      <x:c r="F56" s="2" t="str">
        <x:v>USD</x:v>
      </x:c>
      <x:c r="G56" s="17" t="n">
        <x:f>H39</x:f>
        <x:v>27190.8594</x:v>
      </x:c>
      <x:c r="H56" s="34" t="n">
        <x:v>27477.310547</x:v>
      </x:c>
      <x:c r="I56" s="34" t="n">
        <x:v>26871.5957</x:v>
      </x:c>
      <x:c r="J56" s="8" t="n">
        <x:v>46300</x:v>
      </x:c>
      <x:c r="K56" s="2" t="str">
        <x:v>Open</x:v>
      </x:c>
    </x:row>
    <x:row r="57" ht="27" customHeight="1">
      <x:c r="A57" s="9" t="n">
        <x:v>46301</x:v>
      </x:c>
      <x:c r="B57" s="10" t="str">
        <x:v>FANUC</x:v>
      </x:c>
      <x:c r="C57" s="10" t="str">
        <x:v>6954</x:v>
      </x:c>
      <x:c r="D57" s="10" t="str">
        <x:v>6954.T</x:v>
      </x:c>
      <x:c r="E57" s="10" t="str">
        <x:v>XJPX</x:v>
      </x:c>
      <x:c r="F57" s="10" t="str">
        <x:v>JPY</x:v>
      </x:c>
      <x:c r="G57" s="33" t="n">
        <x:f>H40</x:f>
        <x:v>6186</x:v>
      </x:c>
      <x:c r="H57" s="35" t="n">
        <x:v>6220</x:v>
      </x:c>
      <x:c r="I57" s="35" t="n">
        <x:v>6127</x:v>
      </x:c>
      <x:c r="J57" s="9" t="n">
        <x:v>46301</x:v>
      </x:c>
      <x:c r="K57" s="10" t="str">
        <x:v>Open</x:v>
      </x:c>
    </x:row>
    <x:row r="58" ht="27" customHeight="1">
      <x:c r="A58" s="8" t="n">
        <x:v>46301</x:v>
      </x:c>
      <x:c r="B58" s="2" t="str">
        <x:v>Yaskawa Electric</x:v>
      </x:c>
      <x:c r="C58" s="2" t="str">
        <x:v>6506</x:v>
      </x:c>
      <x:c r="D58" s="2" t="str">
        <x:v>6506.T</x:v>
      </x:c>
      <x:c r="E58" s="2" t="str">
        <x:v>XJPX</x:v>
      </x:c>
      <x:c r="F58" s="2" t="str">
        <x:v>JPY</x:v>
      </x:c>
      <x:c r="G58" s="17" t="n">
        <x:f>H41</x:f>
        <x:v>4931</x:v>
      </x:c>
      <x:c r="H58" s="34" t="n">
        <x:v>4936</x:v>
      </x:c>
      <x:c r="I58" s="34" t="n">
        <x:v>4779</x:v>
      </x:c>
      <x:c r="J58" s="8" t="n">
        <x:v>46301</x:v>
      </x:c>
      <x:c r="K58" s="2" t="str">
        <x:v>Open</x:v>
      </x:c>
    </x:row>
    <x:row r="59" ht="27" customHeight="1">
      <x:c r="A59" s="9" t="n">
        <x:v>46301</x:v>
      </x:c>
      <x:c r="B59" s="10" t="str">
        <x:v>Estun Automation</x:v>
      </x:c>
      <x:c r="C59" s="15" t="str">
        <x:v>002747</x:v>
      </x:c>
      <x:c r="D59" s="10" t="str">
        <x:v>002747.SZ</x:v>
      </x:c>
      <x:c r="E59" s="10" t="str">
        <x:v>XSHE</x:v>
      </x:c>
      <x:c r="F59" s="10" t="str">
        <x:v>CNY</x:v>
      </x:c>
      <x:c r="G59" s="33" t="n">
        <x:f>H42</x:f>
        <x:v>28.22</x:v>
      </x:c>
      <x:c r="H59" s="35" t="n">
        <x:v>28.22</x:v>
      </x:c>
      <x:c r="I59" s="35" t="n">
        <x:v>28.22</x:v>
      </x:c>
      <x:c r="J59" s="9" t="n">
        <x:v>46295</x:v>
      </x:c>
      <x:c r="K59" s="10" t="str">
        <x:v>Verified closure</x:v>
      </x:c>
    </x:row>
    <x:row r="60" ht="27" customHeight="1">
      <x:c r="A60" s="8" t="n">
        <x:v>46301</x:v>
      </x:c>
      <x:c r="B60" s="2" t="str">
        <x:v>Teradyne</x:v>
      </x:c>
      <x:c r="C60" s="2" t="str">
        <x:v>TER</x:v>
      </x:c>
      <x:c r="D60" s="2" t="str">
        <x:v>TER</x:v>
      </x:c>
      <x:c r="E60" s="2" t="str">
        <x:v>XNAS</x:v>
      </x:c>
      <x:c r="F60" s="2" t="str">
        <x:v>USD</x:v>
      </x:c>
      <x:c r="G60" s="17" t="n">
        <x:f>H43</x:f>
        <x:v>444.53</x:v>
      </x:c>
      <x:c r="H60" s="34" t="n">
        <x:v>430.32</x:v>
      </x:c>
      <x:c r="I60" s="34" t="n">
        <x:v>415.79</x:v>
      </x:c>
      <x:c r="J60" s="8" t="n">
        <x:v>46301</x:v>
      </x:c>
      <x:c r="K60" s="2" t="str">
        <x:v>Open</x:v>
      </x:c>
    </x:row>
    <x:row r="61" ht="27" customHeight="1">
      <x:c r="A61" s="9" t="n">
        <x:v>46301</x:v>
      </x:c>
      <x:c r="B61" s="10" t="str">
        <x:v>Nabtesco</x:v>
      </x:c>
      <x:c r="C61" s="10" t="str">
        <x:v>6268</x:v>
      </x:c>
      <x:c r="D61" s="10" t="str">
        <x:v>6268.T</x:v>
      </x:c>
      <x:c r="E61" s="10" t="str">
        <x:v>XJPX</x:v>
      </x:c>
      <x:c r="F61" s="10" t="str">
        <x:v>JPY</x:v>
      </x:c>
      <x:c r="G61" s="33" t="n">
        <x:f>H44</x:f>
        <x:v>4979</x:v>
      </x:c>
      <x:c r="H61" s="35" t="n">
        <x:v>4987</x:v>
      </x:c>
      <x:c r="I61" s="35" t="n">
        <x:v>4975</x:v>
      </x:c>
      <x:c r="J61" s="9" t="n">
        <x:v>46301</x:v>
      </x:c>
      <x:c r="K61" s="10" t="str">
        <x:v>Open</x:v>
      </x:c>
    </x:row>
    <x:row r="62" ht="27" customHeight="1">
      <x:c r="A62" s="8" t="n">
        <x:v>46301</x:v>
      </x:c>
      <x:c r="B62" s="2" t="str">
        <x:v>Inovance</x:v>
      </x:c>
      <x:c r="C62" s="2" t="str">
        <x:v>300124</x:v>
      </x:c>
      <x:c r="D62" s="2" t="str">
        <x:v>300124.SZ</x:v>
      </x:c>
      <x:c r="E62" s="2" t="str">
        <x:v>XSHE</x:v>
      </x:c>
      <x:c r="F62" s="2" t="str">
        <x:v>CNY</x:v>
      </x:c>
      <x:c r="G62" s="17" t="n">
        <x:f>H45</x:f>
        <x:v>51.9</x:v>
      </x:c>
      <x:c r="H62" s="34" t="n">
        <x:v>51.9</x:v>
      </x:c>
      <x:c r="I62" s="34" t="n">
        <x:v>51.9</x:v>
      </x:c>
      <x:c r="J62" s="8" t="n">
        <x:v>46295</x:v>
      </x:c>
      <x:c r="K62" s="2" t="str">
        <x:v>Verified closure</x:v>
      </x:c>
    </x:row>
    <x:row r="63" ht="27" customHeight="1">
      <x:c r="A63" s="9" t="n">
        <x:v>46301</x:v>
      </x:c>
      <x:c r="B63" s="10" t="str">
        <x:v>Keyence</x:v>
      </x:c>
      <x:c r="C63" s="10" t="str">
        <x:v>6861</x:v>
      </x:c>
      <x:c r="D63" s="10" t="str">
        <x:v>6861.T</x:v>
      </x:c>
      <x:c r="E63" s="10" t="str">
        <x:v>XJPX</x:v>
      </x:c>
      <x:c r="F63" s="10" t="str">
        <x:v>JPY</x:v>
      </x:c>
      <x:c r="G63" s="33" t="n">
        <x:f>H46</x:f>
        <x:v>81680</x:v>
      </x:c>
      <x:c r="H63" s="35" t="n">
        <x:v>81490</x:v>
      </x:c>
      <x:c r="I63" s="35" t="n">
        <x:v>81200</x:v>
      </x:c>
      <x:c r="J63" s="9" t="n">
        <x:v>46301</x:v>
      </x:c>
      <x:c r="K63" s="10" t="str">
        <x:v>Open</x:v>
      </x:c>
    </x:row>
    <x:row r="64" ht="27" customHeight="1">
      <x:c r="A64" s="8" t="n">
        <x:v>46301</x:v>
      </x:c>
      <x:c r="B64" s="2" t="str">
        <x:v>Cognex</x:v>
      </x:c>
      <x:c r="C64" s="2" t="str">
        <x:v>CGNX</x:v>
      </x:c>
      <x:c r="D64" s="2" t="str">
        <x:v>CGNX</x:v>
      </x:c>
      <x:c r="E64" s="2" t="str">
        <x:v>XNAS</x:v>
      </x:c>
      <x:c r="F64" s="2" t="str">
        <x:v>USD</x:v>
      </x:c>
      <x:c r="G64" s="17" t="n">
        <x:f>H47</x:f>
        <x:v>64.37</x:v>
      </x:c>
      <x:c r="H64" s="34" t="n">
        <x:v>66.35</x:v>
      </x:c>
      <x:c r="I64" s="34" t="n">
        <x:v>62.22</x:v>
      </x:c>
      <x:c r="J64" s="8" t="n">
        <x:v>46301</x:v>
      </x:c>
      <x:c r="K64" s="2" t="str">
        <x:v>Open</x:v>
      </x:c>
    </x:row>
    <x:row r="65" ht="27" customHeight="1">
      <x:c r="A65" s="9" t="n">
        <x:v>46301</x:v>
      </x:c>
      <x:c r="B65" s="10" t="str">
        <x:v>Ouster</x:v>
      </x:c>
      <x:c r="C65" s="10" t="str">
        <x:v>OUST</x:v>
      </x:c>
      <x:c r="D65" s="10" t="str">
        <x:v>OUST</x:v>
      </x:c>
      <x:c r="E65" s="10" t="str">
        <x:v>XNAS</x:v>
      </x:c>
      <x:c r="F65" s="10" t="str">
        <x:v>USD</x:v>
      </x:c>
      <x:c r="G65" s="33" t="n">
        <x:f>H48</x:f>
        <x:v>44.12</x:v>
      </x:c>
      <x:c r="H65" s="35" t="n">
        <x:v>44.91</x:v>
      </x:c>
      <x:c r="I65" s="35" t="n">
        <x:v>40.87</x:v>
      </x:c>
      <x:c r="J65" s="9" t="n">
        <x:v>46301</x:v>
      </x:c>
      <x:c r="K65" s="10" t="str">
        <x:v>Open</x:v>
      </x:c>
    </x:row>
    <x:row r="66" ht="27" customHeight="1">
      <x:c r="A66" s="8" t="n">
        <x:v>46301</x:v>
      </x:c>
      <x:c r="B66" s="2" t="str">
        <x:v>Hesai</x:v>
      </x:c>
      <x:c r="C66" s="2" t="str">
        <x:v>HSAI</x:v>
      </x:c>
      <x:c r="D66" s="2" t="str">
        <x:v>HSAI</x:v>
      </x:c>
      <x:c r="E66" s="2" t="str">
        <x:v>XNAS</x:v>
      </x:c>
      <x:c r="F66" s="2" t="str">
        <x:v>USD</x:v>
      </x:c>
      <x:c r="G66" s="17" t="n">
        <x:f>H49</x:f>
        <x:v>15.91</x:v>
      </x:c>
      <x:c r="H66" s="34" t="n">
        <x:v>16.27</x:v>
      </x:c>
      <x:c r="I66" s="34" t="n">
        <x:v>15.93</x:v>
      </x:c>
      <x:c r="J66" s="8" t="n">
        <x:v>46301</x:v>
      </x:c>
      <x:c r="K66" s="2" t="str">
        <x:v>Open</x:v>
      </x:c>
    </x:row>
    <x:row r="67" ht="27" customHeight="1">
      <x:c r="A67" s="9" t="n">
        <x:v>46301</x:v>
      </x:c>
      <x:c r="B67" s="10" t="str">
        <x:v>Rockwell Automation</x:v>
      </x:c>
      <x:c r="C67" s="10" t="str">
        <x:v>ROK</x:v>
      </x:c>
      <x:c r="D67" s="10" t="str">
        <x:v>ROK</x:v>
      </x:c>
      <x:c r="E67" s="10" t="str">
        <x:v>XNYS</x:v>
      </x:c>
      <x:c r="F67" s="10" t="str">
        <x:v>USD</x:v>
      </x:c>
      <x:c r="G67" s="33" t="n">
        <x:f>H50</x:f>
        <x:v>455.18</x:v>
      </x:c>
      <x:c r="H67" s="35" t="n">
        <x:v>450.74</x:v>
      </x:c>
      <x:c r="I67" s="35" t="n">
        <x:v>442.45</x:v>
      </x:c>
      <x:c r="J67" s="9" t="n">
        <x:v>46301</x:v>
      </x:c>
      <x:c r="K67" s="10" t="str">
        <x:v>Open</x:v>
      </x:c>
    </x:row>
    <x:row r="68" ht="27" customHeight="1">
      <x:c r="A68" s="8" t="n">
        <x:v>46301</x:v>
      </x:c>
      <x:c r="B68" s="2" t="str">
        <x:v>Siemens</x:v>
      </x:c>
      <x:c r="C68" s="2" t="str">
        <x:v>SIE</x:v>
      </x:c>
      <x:c r="D68" s="2" t="str">
        <x:v>SIE.DE</x:v>
      </x:c>
      <x:c r="E68" s="2" t="str">
        <x:v>XETR</x:v>
      </x:c>
      <x:c r="F68" s="2" t="str">
        <x:v>EUR</x:v>
      </x:c>
      <x:c r="G68" s="17" t="n">
        <x:f>H51</x:f>
        <x:v>275</x:v>
      </x:c>
      <x:c r="H68" s="34" t="n">
        <x:v>279</x:v>
      </x:c>
      <x:c r="I68" s="34" t="n">
        <x:v>271.9</x:v>
      </x:c>
      <x:c r="J68" s="8" t="n">
        <x:v>46301</x:v>
      </x:c>
      <x:c r="K68" s="2" t="str">
        <x:v>Open</x:v>
      </x:c>
    </x:row>
    <x:row r="69" ht="27" customHeight="1">
      <x:c r="A69" s="9" t="n">
        <x:v>46301</x:v>
      </x:c>
      <x:c r="B69" s="10" t="str">
        <x:v>NXP Semiconductors</x:v>
      </x:c>
      <x:c r="C69" s="10" t="str">
        <x:v>NXPI</x:v>
      </x:c>
      <x:c r="D69" s="10" t="str">
        <x:v>NXPI</x:v>
      </x:c>
      <x:c r="E69" s="10" t="str">
        <x:v>XNAS</x:v>
      </x:c>
      <x:c r="F69" s="10" t="str">
        <x:v>USD</x:v>
      </x:c>
      <x:c r="G69" s="33" t="n">
        <x:f>H52</x:f>
        <x:v>241.97</x:v>
      </x:c>
      <x:c r="H69" s="35" t="n">
        <x:v>244.38</x:v>
      </x:c>
      <x:c r="I69" s="35" t="n">
        <x:v>239.19</x:v>
      </x:c>
      <x:c r="J69" s="9" t="n">
        <x:v>46301</x:v>
      </x:c>
      <x:c r="K69" s="10" t="str">
        <x:v>Open</x:v>
      </x:c>
    </x:row>
    <x:row r="70" ht="27" customHeight="1">
      <x:c r="A70" s="8" t="n">
        <x:v>46301</x:v>
      </x:c>
      <x:c r="B70" s="2" t="str">
        <x:v>Daifuku</x:v>
      </x:c>
      <x:c r="C70" s="2" t="str">
        <x:v>6383</x:v>
      </x:c>
      <x:c r="D70" s="2" t="str">
        <x:v>6383.T</x:v>
      </x:c>
      <x:c r="E70" s="2" t="str">
        <x:v>XJPX</x:v>
      </x:c>
      <x:c r="F70" s="2" t="str">
        <x:v>JPY</x:v>
      </x:c>
      <x:c r="G70" s="17" t="n">
        <x:f>H53</x:f>
        <x:v>5874</x:v>
      </x:c>
      <x:c r="H70" s="34" t="n">
        <x:v>5899</x:v>
      </x:c>
      <x:c r="I70" s="34" t="n">
        <x:v>5832</x:v>
      </x:c>
      <x:c r="J70" s="8" t="n">
        <x:v>46301</x:v>
      </x:c>
      <x:c r="K70" s="2" t="str">
        <x:v>Open</x:v>
      </x:c>
    </x:row>
    <x:row r="71" ht="27" customHeight="1">
      <x:c r="A71" s="9" t="n">
        <x:v>46301</x:v>
      </x:c>
      <x:c r="B71" s="10" t="str">
        <x:v>Hexagon</x:v>
      </x:c>
      <x:c r="C71" s="10" t="str">
        <x:v>HEXA B</x:v>
      </x:c>
      <x:c r="D71" s="10" t="str">
        <x:v>HEXA-B.ST</x:v>
      </x:c>
      <x:c r="E71" s="10" t="str">
        <x:v>XSTO</x:v>
      </x:c>
      <x:c r="F71" s="10" t="str">
        <x:v>SEK</x:v>
      </x:c>
      <x:c r="G71" s="33" t="n">
        <x:f>H54</x:f>
        <x:v>102.15</x:v>
      </x:c>
      <x:c r="H71" s="35" t="n">
        <x:v>103.45</x:v>
      </x:c>
      <x:c r="I71" s="35" t="n">
        <x:v>99.02</x:v>
      </x:c>
      <x:c r="J71" s="9" t="n">
        <x:v>46301</x:v>
      </x:c>
      <x:c r="K71" s="10" t="str">
        <x:v>Open</x:v>
      </x:c>
    </x:row>
    <x:row r="72" ht="27" customHeight="1">
      <x:c r="A72" s="8" t="n">
        <x:v>46301</x:v>
      </x:c>
      <x:c r="B72" s="2" t="str">
        <x:v>S&amp;P 500</x:v>
      </x:c>
      <x:c r="C72" s="2" t="str">
        <x:v>S&amp;P 500</x:v>
      </x:c>
      <x:c r="D72" s="2" t="str">
        <x:v>GSPC.INDX</x:v>
      </x:c>
      <x:c r="E72" s="2" t="str">
        <x:v>INDX</x:v>
      </x:c>
      <x:c r="F72" s="2" t="str">
        <x:v>USD</x:v>
      </x:c>
      <x:c r="G72" s="17" t="n">
        <x:f>H55</x:f>
        <x:v>7773.950195</x:v>
      </x:c>
      <x:c r="H72" s="34" t="n">
        <x:v>7818.930176</x:v>
      </x:c>
      <x:c r="I72" s="34" t="n">
        <x:v>7666.45</x:v>
      </x:c>
      <x:c r="J72" s="8" t="n">
        <x:v>46301</x:v>
      </x:c>
      <x:c r="K72" s="2" t="str">
        <x:v>Open</x:v>
      </x:c>
    </x:row>
    <x:row r="73" ht="27" customHeight="1">
      <x:c r="A73" s="9" t="n">
        <x:v>46301</x:v>
      </x:c>
      <x:c r="B73" s="10" t="str">
        <x:v>Nasdaq Composite</x:v>
      </x:c>
      <x:c r="C73" s="10" t="str">
        <x:v>Nasdaq Composite</x:v>
      </x:c>
      <x:c r="D73" s="10" t="str">
        <x:v>IXIC.INDX</x:v>
      </x:c>
      <x:c r="E73" s="10" t="str">
        <x:v>INDX</x:v>
      </x:c>
      <x:c r="F73" s="10" t="str">
        <x:v>USD</x:v>
      </x:c>
      <x:c r="G73" s="33" t="n">
        <x:f>H56</x:f>
        <x:v>27477.310547</x:v>
      </x:c>
      <x:c r="H73" s="35" t="n">
        <x:v>27599.789063</x:v>
      </x:c>
      <x:c r="I73" s="35" t="n">
        <x:v>26871.5957</x:v>
      </x:c>
      <x:c r="J73" s="9" t="n">
        <x:v>46301</x:v>
      </x:c>
      <x:c r="K73" s="10" t="str">
        <x:v>Open</x:v>
      </x:c>
    </x:row>
    <x:row r="74" ht="27" customHeight="1">
      <x:c r="A74" s="8" t="n">
        <x:v>46302</x:v>
      </x:c>
      <x:c r="B74" s="2" t="str">
        <x:v>FANUC</x:v>
      </x:c>
      <x:c r="C74" s="2" t="str">
        <x:v>6954</x:v>
      </x:c>
      <x:c r="D74" s="2" t="str">
        <x:v>6954.T</x:v>
      </x:c>
      <x:c r="E74" s="2" t="str">
        <x:v>XJPX</x:v>
      </x:c>
      <x:c r="F74" s="2" t="str">
        <x:v>JPY</x:v>
      </x:c>
      <x:c r="G74" s="17" t="n">
        <x:f>H57</x:f>
        <x:v>6220</x:v>
      </x:c>
      <x:c r="H74" s="34" t="n">
        <x:v>6164</x:v>
      </x:c>
      <x:c r="I74" s="34" t="n">
        <x:v>6127</x:v>
      </x:c>
      <x:c r="J74" s="8" t="n">
        <x:v>46302</x:v>
      </x:c>
      <x:c r="K74" s="2" t="str">
        <x:v>Open</x:v>
      </x:c>
    </x:row>
    <x:row r="75" ht="27" customHeight="1">
      <x:c r="A75" s="9" t="n">
        <x:v>46302</x:v>
      </x:c>
      <x:c r="B75" s="10" t="str">
        <x:v>Yaskawa Electric</x:v>
      </x:c>
      <x:c r="C75" s="10" t="str">
        <x:v>6506</x:v>
      </x:c>
      <x:c r="D75" s="10" t="str">
        <x:v>6506.T</x:v>
      </x:c>
      <x:c r="E75" s="10" t="str">
        <x:v>XJPX</x:v>
      </x:c>
      <x:c r="F75" s="10" t="str">
        <x:v>JPY</x:v>
      </x:c>
      <x:c r="G75" s="33" t="n">
        <x:f>H58</x:f>
        <x:v>4936</x:v>
      </x:c>
      <x:c r="H75" s="35" t="n">
        <x:v>4946</x:v>
      </x:c>
      <x:c r="I75" s="35" t="n">
        <x:v>4779</x:v>
      </x:c>
      <x:c r="J75" s="9" t="n">
        <x:v>46302</x:v>
      </x:c>
      <x:c r="K75" s="10" t="str">
        <x:v>Open</x:v>
      </x:c>
    </x:row>
    <x:row r="76" ht="27" customHeight="1">
      <x:c r="A76" s="8" t="n">
        <x:v>46302</x:v>
      </x:c>
      <x:c r="B76" s="2" t="str">
        <x:v>Estun Automation</x:v>
      </x:c>
      <x:c r="C76" s="13" t="str">
        <x:v>002747</x:v>
      </x:c>
      <x:c r="D76" s="2" t="str">
        <x:v>002747.SZ</x:v>
      </x:c>
      <x:c r="E76" s="2" t="str">
        <x:v>XSHE</x:v>
      </x:c>
      <x:c r="F76" s="2" t="str">
        <x:v>CNY</x:v>
      </x:c>
      <x:c r="G76" s="17" t="n">
        <x:f>H59</x:f>
        <x:v>28.22</x:v>
      </x:c>
      <x:c r="H76" s="34" t="n">
        <x:v>28.22</x:v>
      </x:c>
      <x:c r="I76" s="34" t="n">
        <x:v>28.22</x:v>
      </x:c>
      <x:c r="J76" s="8" t="n">
        <x:v>46295</x:v>
      </x:c>
      <x:c r="K76" s="2" t="str">
        <x:v>Verified closure</x:v>
      </x:c>
    </x:row>
    <x:row r="77" ht="27" customHeight="1">
      <x:c r="A77" s="9" t="n">
        <x:v>46302</x:v>
      </x:c>
      <x:c r="B77" s="10" t="str">
        <x:v>Teradyne</x:v>
      </x:c>
      <x:c r="C77" s="10" t="str">
        <x:v>TER</x:v>
      </x:c>
      <x:c r="D77" s="10" t="str">
        <x:v>TER</x:v>
      </x:c>
      <x:c r="E77" s="10" t="str">
        <x:v>XNAS</x:v>
      </x:c>
      <x:c r="F77" s="10" t="str">
        <x:v>USD</x:v>
      </x:c>
      <x:c r="G77" s="33" t="n">
        <x:f>H60</x:f>
        <x:v>430.32</x:v>
      </x:c>
      <x:c r="H77" s="35" t="n">
        <x:v>411.78</x:v>
      </x:c>
      <x:c r="I77" s="35" t="n">
        <x:v>415.79</x:v>
      </x:c>
      <x:c r="J77" s="9" t="n">
        <x:v>46302</x:v>
      </x:c>
      <x:c r="K77" s="10" t="str">
        <x:v>Open</x:v>
      </x:c>
    </x:row>
    <x:row r="78" ht="27" customHeight="1">
      <x:c r="A78" s="8" t="n">
        <x:v>46302</x:v>
      </x:c>
      <x:c r="B78" s="2" t="str">
        <x:v>Nabtesco</x:v>
      </x:c>
      <x:c r="C78" s="2" t="str">
        <x:v>6268</x:v>
      </x:c>
      <x:c r="D78" s="2" t="str">
        <x:v>6268.T</x:v>
      </x:c>
      <x:c r="E78" s="2" t="str">
        <x:v>XJPX</x:v>
      </x:c>
      <x:c r="F78" s="2" t="str">
        <x:v>JPY</x:v>
      </x:c>
      <x:c r="G78" s="17" t="n">
        <x:f>H61</x:f>
        <x:v>4987</x:v>
      </x:c>
      <x:c r="H78" s="34" t="n">
        <x:v>5010</x:v>
      </x:c>
      <x:c r="I78" s="34" t="n">
        <x:v>4975</x:v>
      </x:c>
      <x:c r="J78" s="8" t="n">
        <x:v>46302</x:v>
      </x:c>
      <x:c r="K78" s="2" t="str">
        <x:v>Open</x:v>
      </x:c>
    </x:row>
    <x:row r="79" ht="27" customHeight="1">
      <x:c r="A79" s="9" t="n">
        <x:v>46302</x:v>
      </x:c>
      <x:c r="B79" s="10" t="str">
        <x:v>Inovance</x:v>
      </x:c>
      <x:c r="C79" s="10" t="str">
        <x:v>300124</x:v>
      </x:c>
      <x:c r="D79" s="10" t="str">
        <x:v>300124.SZ</x:v>
      </x:c>
      <x:c r="E79" s="10" t="str">
        <x:v>XSHE</x:v>
      </x:c>
      <x:c r="F79" s="10" t="str">
        <x:v>CNY</x:v>
      </x:c>
      <x:c r="G79" s="33" t="n">
        <x:f>H62</x:f>
        <x:v>51.9</x:v>
      </x:c>
      <x:c r="H79" s="35" t="n">
        <x:v>51.9</x:v>
      </x:c>
      <x:c r="I79" s="35" t="n">
        <x:v>51.9</x:v>
      </x:c>
      <x:c r="J79" s="9" t="n">
        <x:v>46295</x:v>
      </x:c>
      <x:c r="K79" s="10" t="str">
        <x:v>Verified closure</x:v>
      </x:c>
    </x:row>
    <x:row r="80" ht="27" customHeight="1">
      <x:c r="A80" s="8" t="n">
        <x:v>46302</x:v>
      </x:c>
      <x:c r="B80" s="2" t="str">
        <x:v>Keyence</x:v>
      </x:c>
      <x:c r="C80" s="2" t="str">
        <x:v>6861</x:v>
      </x:c>
      <x:c r="D80" s="2" t="str">
        <x:v>6861.T</x:v>
      </x:c>
      <x:c r="E80" s="2" t="str">
        <x:v>XJPX</x:v>
      </x:c>
      <x:c r="F80" s="2" t="str">
        <x:v>JPY</x:v>
      </x:c>
      <x:c r="G80" s="17" t="n">
        <x:f>H63</x:f>
        <x:v>81490</x:v>
      </x:c>
      <x:c r="H80" s="34" t="n">
        <x:v>81560</x:v>
      </x:c>
      <x:c r="I80" s="34" t="n">
        <x:v>81200</x:v>
      </x:c>
      <x:c r="J80" s="8" t="n">
        <x:v>46302</x:v>
      </x:c>
      <x:c r="K80" s="2" t="str">
        <x:v>Open</x:v>
      </x:c>
    </x:row>
    <x:row r="81" ht="27" customHeight="1">
      <x:c r="A81" s="9" t="n">
        <x:v>46302</x:v>
      </x:c>
      <x:c r="B81" s="10" t="str">
        <x:v>Cognex</x:v>
      </x:c>
      <x:c r="C81" s="10" t="str">
        <x:v>CGNX</x:v>
      </x:c>
      <x:c r="D81" s="10" t="str">
        <x:v>CGNX</x:v>
      </x:c>
      <x:c r="E81" s="10" t="str">
        <x:v>XNAS</x:v>
      </x:c>
      <x:c r="F81" s="10" t="str">
        <x:v>USD</x:v>
      </x:c>
      <x:c r="G81" s="33" t="n">
        <x:f>H64</x:f>
        <x:v>66.35</x:v>
      </x:c>
      <x:c r="H81" s="35" t="n">
        <x:v>61.21</x:v>
      </x:c>
      <x:c r="I81" s="35" t="n">
        <x:v>62.22</x:v>
      </x:c>
      <x:c r="J81" s="9" t="n">
        <x:v>46302</x:v>
      </x:c>
      <x:c r="K81" s="10" t="str">
        <x:v>Open</x:v>
      </x:c>
    </x:row>
    <x:row r="82" ht="27" customHeight="1">
      <x:c r="A82" s="8" t="n">
        <x:v>46302</x:v>
      </x:c>
      <x:c r="B82" s="2" t="str">
        <x:v>Ouster</x:v>
      </x:c>
      <x:c r="C82" s="2" t="str">
        <x:v>OUST</x:v>
      </x:c>
      <x:c r="D82" s="2" t="str">
        <x:v>OUST</x:v>
      </x:c>
      <x:c r="E82" s="2" t="str">
        <x:v>XNAS</x:v>
      </x:c>
      <x:c r="F82" s="2" t="str">
        <x:v>USD</x:v>
      </x:c>
      <x:c r="G82" s="17" t="n">
        <x:f>H65</x:f>
        <x:v>44.91</x:v>
      </x:c>
      <x:c r="H82" s="34" t="n">
        <x:v>41.67</x:v>
      </x:c>
      <x:c r="I82" s="34" t="n">
        <x:v>40.87</x:v>
      </x:c>
      <x:c r="J82" s="8" t="n">
        <x:v>46302</x:v>
      </x:c>
      <x:c r="K82" s="2" t="str">
        <x:v>Open</x:v>
      </x:c>
    </x:row>
    <x:row r="83" ht="27" customHeight="1">
      <x:c r="A83" s="9" t="n">
        <x:v>46302</x:v>
      </x:c>
      <x:c r="B83" s="10" t="str">
        <x:v>Hesai</x:v>
      </x:c>
      <x:c r="C83" s="10" t="str">
        <x:v>HSAI</x:v>
      </x:c>
      <x:c r="D83" s="10" t="str">
        <x:v>HSAI</x:v>
      </x:c>
      <x:c r="E83" s="10" t="str">
        <x:v>XNAS</x:v>
      </x:c>
      <x:c r="F83" s="10" t="str">
        <x:v>USD</x:v>
      </x:c>
      <x:c r="G83" s="33" t="n">
        <x:f>H66</x:f>
        <x:v>16.27</x:v>
      </x:c>
      <x:c r="H83" s="35" t="n">
        <x:v>16</x:v>
      </x:c>
      <x:c r="I83" s="35" t="n">
        <x:v>15.93</x:v>
      </x:c>
      <x:c r="J83" s="9" t="n">
        <x:v>46302</x:v>
      </x:c>
      <x:c r="K83" s="10" t="str">
        <x:v>Open</x:v>
      </x:c>
    </x:row>
    <x:row r="84" ht="27" customHeight="1">
      <x:c r="A84" s="8" t="n">
        <x:v>46302</x:v>
      </x:c>
      <x:c r="B84" s="2" t="str">
        <x:v>Rockwell Automation</x:v>
      </x:c>
      <x:c r="C84" s="2" t="str">
        <x:v>ROK</x:v>
      </x:c>
      <x:c r="D84" s="2" t="str">
        <x:v>ROK</x:v>
      </x:c>
      <x:c r="E84" s="2" t="str">
        <x:v>XNYS</x:v>
      </x:c>
      <x:c r="F84" s="2" t="str">
        <x:v>USD</x:v>
      </x:c>
      <x:c r="G84" s="17" t="n">
        <x:f>H67</x:f>
        <x:v>450.74</x:v>
      </x:c>
      <x:c r="H84" s="34" t="n">
        <x:v>441.9</x:v>
      </x:c>
      <x:c r="I84" s="34" t="n">
        <x:v>442.45</x:v>
      </x:c>
      <x:c r="J84" s="8" t="n">
        <x:v>46302</x:v>
      </x:c>
      <x:c r="K84" s="2" t="str">
        <x:v>Open</x:v>
      </x:c>
    </x:row>
    <x:row r="85" ht="27" customHeight="1">
      <x:c r="A85" s="9" t="n">
        <x:v>46302</x:v>
      </x:c>
      <x:c r="B85" s="10" t="str">
        <x:v>Siemens</x:v>
      </x:c>
      <x:c r="C85" s="10" t="str">
        <x:v>SIE</x:v>
      </x:c>
      <x:c r="D85" s="10" t="str">
        <x:v>SIE.DE</x:v>
      </x:c>
      <x:c r="E85" s="10" t="str">
        <x:v>XETR</x:v>
      </x:c>
      <x:c r="F85" s="10" t="str">
        <x:v>EUR</x:v>
      </x:c>
      <x:c r="G85" s="33" t="n">
        <x:f>H68</x:f>
        <x:v>279</x:v>
      </x:c>
      <x:c r="H85" s="35" t="n">
        <x:v>271.2</x:v>
      </x:c>
      <x:c r="I85" s="35" t="n">
        <x:v>271.9</x:v>
      </x:c>
      <x:c r="J85" s="9" t="n">
        <x:v>46302</x:v>
      </x:c>
      <x:c r="K85" s="10" t="str">
        <x:v>Open</x:v>
      </x:c>
    </x:row>
    <x:row r="86" ht="27" customHeight="1">
      <x:c r="A86" s="8" t="n">
        <x:v>46302</x:v>
      </x:c>
      <x:c r="B86" s="2" t="str">
        <x:v>NXP Semiconductors</x:v>
      </x:c>
      <x:c r="C86" s="2" t="str">
        <x:v>NXPI</x:v>
      </x:c>
      <x:c r="D86" s="2" t="str">
        <x:v>NXPI</x:v>
      </x:c>
      <x:c r="E86" s="2" t="str">
        <x:v>XNAS</x:v>
      </x:c>
      <x:c r="F86" s="2" t="str">
        <x:v>USD</x:v>
      </x:c>
      <x:c r="G86" s="17" t="n">
        <x:f>H69</x:f>
        <x:v>244.38</x:v>
      </x:c>
      <x:c r="H86" s="34" t="n">
        <x:v>235.22</x:v>
      </x:c>
      <x:c r="I86" s="34" t="n">
        <x:v>239.19</x:v>
      </x:c>
      <x:c r="J86" s="8" t="n">
        <x:v>46302</x:v>
      </x:c>
      <x:c r="K86" s="2" t="str">
        <x:v>Open</x:v>
      </x:c>
    </x:row>
    <x:row r="87" ht="27" customHeight="1">
      <x:c r="A87" s="9" t="n">
        <x:v>46302</x:v>
      </x:c>
      <x:c r="B87" s="10" t="str">
        <x:v>Daifuku</x:v>
      </x:c>
      <x:c r="C87" s="10" t="str">
        <x:v>6383</x:v>
      </x:c>
      <x:c r="D87" s="10" t="str">
        <x:v>6383.T</x:v>
      </x:c>
      <x:c r="E87" s="10" t="str">
        <x:v>XJPX</x:v>
      </x:c>
      <x:c r="F87" s="10" t="str">
        <x:v>JPY</x:v>
      </x:c>
      <x:c r="G87" s="33" t="n">
        <x:f>H70</x:f>
        <x:v>5899</x:v>
      </x:c>
      <x:c r="H87" s="35" t="n">
        <x:v>5875</x:v>
      </x:c>
      <x:c r="I87" s="35" t="n">
        <x:v>5832</x:v>
      </x:c>
      <x:c r="J87" s="9" t="n">
        <x:v>46302</x:v>
      </x:c>
      <x:c r="K87" s="10" t="str">
        <x:v>Open</x:v>
      </x:c>
    </x:row>
    <x:row r="88" ht="27" customHeight="1">
      <x:c r="A88" s="8" t="n">
        <x:v>46302</x:v>
      </x:c>
      <x:c r="B88" s="2" t="str">
        <x:v>Hexagon</x:v>
      </x:c>
      <x:c r="C88" s="2" t="str">
        <x:v>HEXA B</x:v>
      </x:c>
      <x:c r="D88" s="2" t="str">
        <x:v>HEXA-B.ST</x:v>
      </x:c>
      <x:c r="E88" s="2" t="str">
        <x:v>XSTO</x:v>
      </x:c>
      <x:c r="F88" s="2" t="str">
        <x:v>SEK</x:v>
      </x:c>
      <x:c r="G88" s="17" t="n">
        <x:f>H71</x:f>
        <x:v>103.45</x:v>
      </x:c>
      <x:c r="H88" s="34" t="n">
        <x:v>101.05</x:v>
      </x:c>
      <x:c r="I88" s="34" t="n">
        <x:v>99.02</x:v>
      </x:c>
      <x:c r="J88" s="8" t="n">
        <x:v>46302</x:v>
      </x:c>
      <x:c r="K88" s="2" t="str">
        <x:v>Open</x:v>
      </x:c>
    </x:row>
    <x:row r="89" ht="27" customHeight="1">
      <x:c r="A89" s="9" t="n">
        <x:v>46302</x:v>
      </x:c>
      <x:c r="B89" s="10" t="str">
        <x:v>S&amp;P 500</x:v>
      </x:c>
      <x:c r="C89" s="10" t="str">
        <x:v>S&amp;P 500</x:v>
      </x:c>
      <x:c r="D89" s="10" t="str">
        <x:v>GSPC.INDX</x:v>
      </x:c>
      <x:c r="E89" s="10" t="str">
        <x:v>INDX</x:v>
      </x:c>
      <x:c r="F89" s="10" t="str">
        <x:v>USD</x:v>
      </x:c>
      <x:c r="G89" s="33" t="n">
        <x:f>H72</x:f>
        <x:v>7818.930176</x:v>
      </x:c>
      <x:c r="H89" s="35" t="n">
        <x:v>7801.77002</x:v>
      </x:c>
      <x:c r="I89" s="35" t="n">
        <x:v>7666.45</x:v>
      </x:c>
      <x:c r="J89" s="9" t="n">
        <x:v>46302</x:v>
      </x:c>
      <x:c r="K89" s="10" t="str">
        <x:v>Open</x:v>
      </x:c>
    </x:row>
    <x:row r="90" ht="27" customHeight="1">
      <x:c r="A90" s="8" t="n">
        <x:v>46302</x:v>
      </x:c>
      <x:c r="B90" s="2" t="str">
        <x:v>Nasdaq Composite</x:v>
      </x:c>
      <x:c r="C90" s="2" t="str">
        <x:v>Nasdaq Composite</x:v>
      </x:c>
      <x:c r="D90" s="2" t="str">
        <x:v>IXIC.INDX</x:v>
      </x:c>
      <x:c r="E90" s="2" t="str">
        <x:v>INDX</x:v>
      </x:c>
      <x:c r="F90" s="2" t="str">
        <x:v>USD</x:v>
      </x:c>
      <x:c r="G90" s="17" t="n">
        <x:f>H73</x:f>
        <x:v>27599.789063</x:v>
      </x:c>
      <x:c r="H90" s="34" t="n">
        <x:v>27538.691406</x:v>
      </x:c>
      <x:c r="I90" s="34" t="n">
        <x:v>26871.5957</x:v>
      </x:c>
      <x:c r="J90" s="8" t="n">
        <x:v>46302</x:v>
      </x:c>
      <x:c r="K90" s="2" t="str">
        <x:v>Open</x:v>
      </x:c>
    </x:row>
    <x:row r="91" ht="27" customHeight="1">
      <x:c r="A91" s="9" t="n">
        <x:v>46303</x:v>
      </x:c>
      <x:c r="B91" s="10" t="str">
        <x:v>FANUC</x:v>
      </x:c>
      <x:c r="C91" s="10" t="str">
        <x:v>6954</x:v>
      </x:c>
      <x:c r="D91" s="10" t="str">
        <x:v>6954.T</x:v>
      </x:c>
      <x:c r="E91" s="10" t="str">
        <x:v>XJPX</x:v>
      </x:c>
      <x:c r="F91" s="10" t="str">
        <x:v>JPY</x:v>
      </x:c>
      <x:c r="G91" s="33" t="n">
        <x:f>H74</x:f>
        <x:v>6164</x:v>
      </x:c>
      <x:c r="H91" s="35" t="n">
        <x:v>6019</x:v>
      </x:c>
      <x:c r="I91" s="35" t="n">
        <x:v>6127</x:v>
      </x:c>
      <x:c r="J91" s="9" t="n">
        <x:v>46303</x:v>
      </x:c>
      <x:c r="K91" s="10" t="str">
        <x:v>Open</x:v>
      </x:c>
    </x:row>
    <x:row r="92" ht="27" customHeight="1">
      <x:c r="A92" s="8" t="n">
        <x:v>46303</x:v>
      </x:c>
      <x:c r="B92" s="2" t="str">
        <x:v>Yaskawa Electric</x:v>
      </x:c>
      <x:c r="C92" s="2" t="str">
        <x:v>6506</x:v>
      </x:c>
      <x:c r="D92" s="2" t="str">
        <x:v>6506.T</x:v>
      </x:c>
      <x:c r="E92" s="2" t="str">
        <x:v>XJPX</x:v>
      </x:c>
      <x:c r="F92" s="2" t="str">
        <x:v>JPY</x:v>
      </x:c>
      <x:c r="G92" s="17" t="n">
        <x:f>H75</x:f>
        <x:v>4946</x:v>
      </x:c>
      <x:c r="H92" s="34" t="n">
        <x:v>4789</x:v>
      </x:c>
      <x:c r="I92" s="34" t="n">
        <x:v>4779</x:v>
      </x:c>
      <x:c r="J92" s="8" t="n">
        <x:v>46303</x:v>
      </x:c>
      <x:c r="K92" s="2" t="str">
        <x:v>Open</x:v>
      </x:c>
    </x:row>
    <x:row r="93" ht="27" customHeight="1">
      <x:c r="A93" s="9" t="n">
        <x:v>46303</x:v>
      </x:c>
      <x:c r="B93" s="10" t="str">
        <x:v>Estun Automation</x:v>
      </x:c>
      <x:c r="C93" s="15" t="str">
        <x:v>002747</x:v>
      </x:c>
      <x:c r="D93" s="10" t="str">
        <x:v>002747.SZ</x:v>
      </x:c>
      <x:c r="E93" s="10" t="str">
        <x:v>XSHE</x:v>
      </x:c>
      <x:c r="F93" s="10" t="str">
        <x:v>CNY</x:v>
      </x:c>
      <x:c r="G93" s="33" t="n">
        <x:f>H76</x:f>
        <x:v>28.22</x:v>
      </x:c>
      <x:c r="H93" s="35" t="n">
        <x:v>26.86</x:v>
      </x:c>
      <x:c r="I93" s="35" t="n">
        <x:v>28.22</x:v>
      </x:c>
      <x:c r="J93" s="9" t="n">
        <x:v>46303</x:v>
      </x:c>
      <x:c r="K93" s="10" t="str">
        <x:v>Open</x:v>
      </x:c>
    </x:row>
    <x:row r="94" ht="27" customHeight="1">
      <x:c r="A94" s="8" t="n">
        <x:v>46303</x:v>
      </x:c>
      <x:c r="B94" s="2" t="str">
        <x:v>Teradyne</x:v>
      </x:c>
      <x:c r="C94" s="2" t="str">
        <x:v>TER</x:v>
      </x:c>
      <x:c r="D94" s="2" t="str">
        <x:v>TER</x:v>
      </x:c>
      <x:c r="E94" s="2" t="str">
        <x:v>XNAS</x:v>
      </x:c>
      <x:c r="F94" s="2" t="str">
        <x:v>USD</x:v>
      </x:c>
      <x:c r="G94" s="17" t="n">
        <x:f>H77</x:f>
        <x:v>411.78</x:v>
      </x:c>
      <x:c r="H94" s="34" t="n">
        <x:v>398.72</x:v>
      </x:c>
      <x:c r="I94" s="34" t="n">
        <x:v>415.79</x:v>
      </x:c>
      <x:c r="J94" s="8" t="n">
        <x:v>46303</x:v>
      </x:c>
      <x:c r="K94" s="2" t="str">
        <x:v>Open</x:v>
      </x:c>
    </x:row>
    <x:row r="95" ht="27" customHeight="1">
      <x:c r="A95" s="9" t="n">
        <x:v>46303</x:v>
      </x:c>
      <x:c r="B95" s="10" t="str">
        <x:v>Nabtesco</x:v>
      </x:c>
      <x:c r="C95" s="10" t="str">
        <x:v>6268</x:v>
      </x:c>
      <x:c r="D95" s="10" t="str">
        <x:v>6268.T</x:v>
      </x:c>
      <x:c r="E95" s="10" t="str">
        <x:v>XJPX</x:v>
      </x:c>
      <x:c r="F95" s="10" t="str">
        <x:v>JPY</x:v>
      </x:c>
      <x:c r="G95" s="33" t="n">
        <x:f>H78</x:f>
        <x:v>5010</x:v>
      </x:c>
      <x:c r="H95" s="35" t="n">
        <x:v>4795</x:v>
      </x:c>
      <x:c r="I95" s="35" t="n">
        <x:v>4975</x:v>
      </x:c>
      <x:c r="J95" s="9" t="n">
        <x:v>46303</x:v>
      </x:c>
      <x:c r="K95" s="10" t="str">
        <x:v>Open</x:v>
      </x:c>
    </x:row>
    <x:row r="96" ht="27" customHeight="1">
      <x:c r="A96" s="8" t="n">
        <x:v>46303</x:v>
      </x:c>
      <x:c r="B96" s="2" t="str">
        <x:v>Inovance</x:v>
      </x:c>
      <x:c r="C96" s="2" t="str">
        <x:v>300124</x:v>
      </x:c>
      <x:c r="D96" s="2" t="str">
        <x:v>300124.SZ</x:v>
      </x:c>
      <x:c r="E96" s="2" t="str">
        <x:v>XSHE</x:v>
      </x:c>
      <x:c r="F96" s="2" t="str">
        <x:v>CNY</x:v>
      </x:c>
      <x:c r="G96" s="17" t="n">
        <x:f>H79</x:f>
        <x:v>51.9</x:v>
      </x:c>
      <x:c r="H96" s="34" t="n">
        <x:v>49.85</x:v>
      </x:c>
      <x:c r="I96" s="34" t="n">
        <x:v>51.9</x:v>
      </x:c>
      <x:c r="J96" s="8" t="n">
        <x:v>46303</x:v>
      </x:c>
      <x:c r="K96" s="2" t="str">
        <x:v>Open</x:v>
      </x:c>
    </x:row>
    <x:row r="97" ht="27" customHeight="1">
      <x:c r="A97" s="9" t="n">
        <x:v>46303</x:v>
      </x:c>
      <x:c r="B97" s="10" t="str">
        <x:v>Keyence</x:v>
      </x:c>
      <x:c r="C97" s="10" t="str">
        <x:v>6861</x:v>
      </x:c>
      <x:c r="D97" s="10" t="str">
        <x:v>6861.T</x:v>
      </x:c>
      <x:c r="E97" s="10" t="str">
        <x:v>XJPX</x:v>
      </x:c>
      <x:c r="F97" s="10" t="str">
        <x:v>JPY</x:v>
      </x:c>
      <x:c r="G97" s="33" t="n">
        <x:f>H80</x:f>
        <x:v>81560</x:v>
      </x:c>
      <x:c r="H97" s="35" t="n">
        <x:v>80000</x:v>
      </x:c>
      <x:c r="I97" s="35" t="n">
        <x:v>81200</x:v>
      </x:c>
      <x:c r="J97" s="9" t="n">
        <x:v>46303</x:v>
      </x:c>
      <x:c r="K97" s="10" t="str">
        <x:v>Open</x:v>
      </x:c>
    </x:row>
    <x:row r="98" ht="27" customHeight="1">
      <x:c r="A98" s="8" t="n">
        <x:v>46303</x:v>
      </x:c>
      <x:c r="B98" s="2" t="str">
        <x:v>Cognex</x:v>
      </x:c>
      <x:c r="C98" s="2" t="str">
        <x:v>CGNX</x:v>
      </x:c>
      <x:c r="D98" s="2" t="str">
        <x:v>CGNX</x:v>
      </x:c>
      <x:c r="E98" s="2" t="str">
        <x:v>XNAS</x:v>
      </x:c>
      <x:c r="F98" s="2" t="str">
        <x:v>USD</x:v>
      </x:c>
      <x:c r="G98" s="17" t="n">
        <x:f>H81</x:f>
        <x:v>61.21</x:v>
      </x:c>
      <x:c r="H98" s="34" t="n">
        <x:v>60.91</x:v>
      </x:c>
      <x:c r="I98" s="34" t="n">
        <x:v>62.22</x:v>
      </x:c>
      <x:c r="J98" s="8" t="n">
        <x:v>46303</x:v>
      </x:c>
      <x:c r="K98" s="2" t="str">
        <x:v>Open</x:v>
      </x:c>
    </x:row>
    <x:row r="99" ht="27" customHeight="1">
      <x:c r="A99" s="9" t="n">
        <x:v>46303</x:v>
      </x:c>
      <x:c r="B99" s="10" t="str">
        <x:v>Ouster</x:v>
      </x:c>
      <x:c r="C99" s="10" t="str">
        <x:v>OUST</x:v>
      </x:c>
      <x:c r="D99" s="10" t="str">
        <x:v>OUST</x:v>
      </x:c>
      <x:c r="E99" s="10" t="str">
        <x:v>XNAS</x:v>
      </x:c>
      <x:c r="F99" s="10" t="str">
        <x:v>USD</x:v>
      </x:c>
      <x:c r="G99" s="33" t="n">
        <x:f>H82</x:f>
        <x:v>41.67</x:v>
      </x:c>
      <x:c r="H99" s="35" t="n">
        <x:v>39.53</x:v>
      </x:c>
      <x:c r="I99" s="35" t="n">
        <x:v>40.87</x:v>
      </x:c>
      <x:c r="J99" s="9" t="n">
        <x:v>46303</x:v>
      </x:c>
      <x:c r="K99" s="10" t="str">
        <x:v>Open</x:v>
      </x:c>
    </x:row>
    <x:row r="100" ht="27" customHeight="1">
      <x:c r="A100" s="8" t="n">
        <x:v>46303</x:v>
      </x:c>
      <x:c r="B100" s="2" t="str">
        <x:v>Hesai</x:v>
      </x:c>
      <x:c r="C100" s="2" t="str">
        <x:v>HSAI</x:v>
      </x:c>
      <x:c r="D100" s="2" t="str">
        <x:v>HSAI</x:v>
      </x:c>
      <x:c r="E100" s="2" t="str">
        <x:v>XNAS</x:v>
      </x:c>
      <x:c r="F100" s="2" t="str">
        <x:v>USD</x:v>
      </x:c>
      <x:c r="G100" s="17" t="n">
        <x:f>H83</x:f>
        <x:v>16</x:v>
      </x:c>
      <x:c r="H100" s="34" t="n">
        <x:v>15.61</x:v>
      </x:c>
      <x:c r="I100" s="34" t="n">
        <x:v>15.93</x:v>
      </x:c>
      <x:c r="J100" s="8" t="n">
        <x:v>46303</x:v>
      </x:c>
      <x:c r="K100" s="2" t="str">
        <x:v>Open</x:v>
      </x:c>
    </x:row>
    <x:row r="101" ht="27" customHeight="1">
      <x:c r="A101" s="9" t="n">
        <x:v>46303</x:v>
      </x:c>
      <x:c r="B101" s="10" t="str">
        <x:v>Rockwell Automation</x:v>
      </x:c>
      <x:c r="C101" s="10" t="str">
        <x:v>ROK</x:v>
      </x:c>
      <x:c r="D101" s="10" t="str">
        <x:v>ROK</x:v>
      </x:c>
      <x:c r="E101" s="10" t="str">
        <x:v>XNYS</x:v>
      </x:c>
      <x:c r="F101" s="10" t="str">
        <x:v>USD</x:v>
      </x:c>
      <x:c r="G101" s="33" t="n">
        <x:f>H84</x:f>
        <x:v>441.9</x:v>
      </x:c>
      <x:c r="H101" s="35" t="n">
        <x:v>434.14</x:v>
      </x:c>
      <x:c r="I101" s="35" t="n">
        <x:v>442.45</x:v>
      </x:c>
      <x:c r="J101" s="9" t="n">
        <x:v>46303</x:v>
      </x:c>
      <x:c r="K101" s="10" t="str">
        <x:v>Open</x:v>
      </x:c>
    </x:row>
    <x:row r="102" ht="27" customHeight="1">
      <x:c r="A102" s="8" t="n">
        <x:v>46303</x:v>
      </x:c>
      <x:c r="B102" s="2" t="str">
        <x:v>Siemens</x:v>
      </x:c>
      <x:c r="C102" s="2" t="str">
        <x:v>SIE</x:v>
      </x:c>
      <x:c r="D102" s="2" t="str">
        <x:v>SIE.DE</x:v>
      </x:c>
      <x:c r="E102" s="2" t="str">
        <x:v>XETR</x:v>
      </x:c>
      <x:c r="F102" s="2" t="str">
        <x:v>EUR</x:v>
      </x:c>
      <x:c r="G102" s="17" t="n">
        <x:f>H85</x:f>
        <x:v>271.2</x:v>
      </x:c>
      <x:c r="H102" s="34" t="n">
        <x:v>264.25</x:v>
      </x:c>
      <x:c r="I102" s="34" t="n">
        <x:v>271.9</x:v>
      </x:c>
      <x:c r="J102" s="8" t="n">
        <x:v>46303</x:v>
      </x:c>
      <x:c r="K102" s="2" t="str">
        <x:v>Open</x:v>
      </x:c>
    </x:row>
    <x:row r="103" ht="27" customHeight="1">
      <x:c r="A103" s="9" t="n">
        <x:v>46303</x:v>
      </x:c>
      <x:c r="B103" s="10" t="str">
        <x:v>NXP Semiconductors</x:v>
      </x:c>
      <x:c r="C103" s="10" t="str">
        <x:v>NXPI</x:v>
      </x:c>
      <x:c r="D103" s="10" t="str">
        <x:v>NXPI</x:v>
      </x:c>
      <x:c r="E103" s="10" t="str">
        <x:v>XNAS</x:v>
      </x:c>
      <x:c r="F103" s="10" t="str">
        <x:v>USD</x:v>
      </x:c>
      <x:c r="G103" s="33" t="n">
        <x:f>H86</x:f>
        <x:v>235.22</x:v>
      </x:c>
      <x:c r="H103" s="35" t="n">
        <x:v>231.07</x:v>
      </x:c>
      <x:c r="I103" s="35" t="n">
        <x:v>239.19</x:v>
      </x:c>
      <x:c r="J103" s="9" t="n">
        <x:v>46303</x:v>
      </x:c>
      <x:c r="K103" s="10" t="str">
        <x:v>Open</x:v>
      </x:c>
    </x:row>
    <x:row r="104" ht="27" customHeight="1">
      <x:c r="A104" s="8" t="n">
        <x:v>46303</x:v>
      </x:c>
      <x:c r="B104" s="2" t="str">
        <x:v>Daifuku</x:v>
      </x:c>
      <x:c r="C104" s="2" t="str">
        <x:v>6383</x:v>
      </x:c>
      <x:c r="D104" s="2" t="str">
        <x:v>6383.T</x:v>
      </x:c>
      <x:c r="E104" s="2" t="str">
        <x:v>XJPX</x:v>
      </x:c>
      <x:c r="F104" s="2" t="str">
        <x:v>JPY</x:v>
      </x:c>
      <x:c r="G104" s="17" t="n">
        <x:f>H87</x:f>
        <x:v>5875</x:v>
      </x:c>
      <x:c r="H104" s="34" t="n">
        <x:v>5716</x:v>
      </x:c>
      <x:c r="I104" s="34" t="n">
        <x:v>5832</x:v>
      </x:c>
      <x:c r="J104" s="8" t="n">
        <x:v>46303</x:v>
      </x:c>
      <x:c r="K104" s="2" t="str">
        <x:v>Open</x:v>
      </x:c>
    </x:row>
    <x:row r="105" ht="27" customHeight="1">
      <x:c r="A105" s="9" t="n">
        <x:v>46303</x:v>
      </x:c>
      <x:c r="B105" s="10" t="str">
        <x:v>Hexagon</x:v>
      </x:c>
      <x:c r="C105" s="10" t="str">
        <x:v>HEXA B</x:v>
      </x:c>
      <x:c r="D105" s="10" t="str">
        <x:v>HEXA-B.ST</x:v>
      </x:c>
      <x:c r="E105" s="10" t="str">
        <x:v>XSTO</x:v>
      </x:c>
      <x:c r="F105" s="10" t="str">
        <x:v>SEK</x:v>
      </x:c>
      <x:c r="G105" s="33" t="n">
        <x:f>H88</x:f>
        <x:v>101.05</x:v>
      </x:c>
      <x:c r="H105" s="35" t="n">
        <x:v>101.25</x:v>
      </x:c>
      <x:c r="I105" s="35" t="n">
        <x:v>99.02</x:v>
      </x:c>
      <x:c r="J105" s="9" t="n">
        <x:v>46303</x:v>
      </x:c>
      <x:c r="K105" s="10" t="str">
        <x:v>Open</x:v>
      </x:c>
    </x:row>
    <x:row r="106" ht="27" customHeight="1">
      <x:c r="A106" s="8" t="n">
        <x:v>46303</x:v>
      </x:c>
      <x:c r="B106" s="2" t="str">
        <x:v>S&amp;P 500</x:v>
      </x:c>
      <x:c r="C106" s="2" t="str">
        <x:v>S&amp;P 500</x:v>
      </x:c>
      <x:c r="D106" s="2" t="str">
        <x:v>GSPC.INDX</x:v>
      </x:c>
      <x:c r="E106" s="2" t="str">
        <x:v>INDX</x:v>
      </x:c>
      <x:c r="F106" s="2" t="str">
        <x:v>USD</x:v>
      </x:c>
      <x:c r="G106" s="17" t="n">
        <x:f>H89</x:f>
        <x:v>7801.77002</x:v>
      </x:c>
      <x:c r="H106" s="34" t="n">
        <x:v>7765.36</x:v>
      </x:c>
      <x:c r="I106" s="34" t="n">
        <x:v>7666.45</x:v>
      </x:c>
      <x:c r="J106" s="8" t="n">
        <x:v>46303</x:v>
      </x:c>
      <x:c r="K106" s="2" t="str">
        <x:v>Open</x:v>
      </x:c>
    </x:row>
    <x:row r="107" ht="27" customHeight="1">
      <x:c r="A107" s="9" t="n">
        <x:v>46303</x:v>
      </x:c>
      <x:c r="B107" s="10" t="str">
        <x:v>Nasdaq Composite</x:v>
      </x:c>
      <x:c r="C107" s="10" t="str">
        <x:v>Nasdaq Composite</x:v>
      </x:c>
      <x:c r="D107" s="10" t="str">
        <x:v>IXIC.INDX</x:v>
      </x:c>
      <x:c r="E107" s="10" t="str">
        <x:v>INDX</x:v>
      </x:c>
      <x:c r="F107" s="10" t="str">
        <x:v>USD</x:v>
      </x:c>
      <x:c r="G107" s="33" t="n">
        <x:f>H90</x:f>
        <x:v>27538.691406</x:v>
      </x:c>
      <x:c r="H107" s="35" t="n">
        <x:v>27193.3398</x:v>
      </x:c>
      <x:c r="I107" s="35" t="n">
        <x:v>26871.5957</x:v>
      </x:c>
      <x:c r="J107" s="9" t="n">
        <x:v>46303</x:v>
      </x:c>
      <x:c r="K107" s="10" t="str">
        <x:v>Open</x:v>
      </x:c>
    </x:row>
    <x:row r="108" ht="27" customHeight="1">
      <x:c r="A108" s="8" t="n">
        <x:v>46304</x:v>
      </x:c>
      <x:c r="B108" s="2" t="str">
        <x:v>FANUC</x:v>
      </x:c>
      <x:c r="C108" s="2" t="str">
        <x:v>6954</x:v>
      </x:c>
      <x:c r="D108" s="2" t="str">
        <x:v>6954.T</x:v>
      </x:c>
      <x:c r="E108" s="2" t="str">
        <x:v>XJPX</x:v>
      </x:c>
      <x:c r="F108" s="2" t="str">
        <x:v>JPY</x:v>
      </x:c>
      <x:c r="G108" s="17" t="n">
        <x:f>H91</x:f>
        <x:v>6019</x:v>
      </x:c>
      <x:c r="H108" s="34" t="n">
        <x:v>6103</x:v>
      </x:c>
      <x:c r="I108" s="34" t="n">
        <x:v>6127</x:v>
      </x:c>
      <x:c r="J108" s="8" t="n">
        <x:v>46304</x:v>
      </x:c>
      <x:c r="K108" s="2" t="str">
        <x:v>Open</x:v>
      </x:c>
    </x:row>
    <x:row r="109" ht="27" customHeight="1">
      <x:c r="A109" s="9" t="n">
        <x:v>46304</x:v>
      </x:c>
      <x:c r="B109" s="10" t="str">
        <x:v>Yaskawa Electric</x:v>
      </x:c>
      <x:c r="C109" s="10" t="str">
        <x:v>6506</x:v>
      </x:c>
      <x:c r="D109" s="10" t="str">
        <x:v>6506.T</x:v>
      </x:c>
      <x:c r="E109" s="10" t="str">
        <x:v>XJPX</x:v>
      </x:c>
      <x:c r="F109" s="10" t="str">
        <x:v>JPY</x:v>
      </x:c>
      <x:c r="G109" s="33" t="n">
        <x:f>H92</x:f>
        <x:v>4789</x:v>
      </x:c>
      <x:c r="H109" s="35" t="n">
        <x:v>4783</x:v>
      </x:c>
      <x:c r="I109" s="35" t="n">
        <x:v>4779</x:v>
      </x:c>
      <x:c r="J109" s="9" t="n">
        <x:v>46304</x:v>
      </x:c>
      <x:c r="K109" s="10" t="str">
        <x:v>Open</x:v>
      </x:c>
    </x:row>
    <x:row r="110" ht="27" customHeight="1">
      <x:c r="A110" s="8" t="n">
        <x:v>46304</x:v>
      </x:c>
      <x:c r="B110" s="2" t="str">
        <x:v>Estun Automation</x:v>
      </x:c>
      <x:c r="C110" s="13" t="str">
        <x:v>002747</x:v>
      </x:c>
      <x:c r="D110" s="2" t="str">
        <x:v>002747.SZ</x:v>
      </x:c>
      <x:c r="E110" s="2" t="str">
        <x:v>XSHE</x:v>
      </x:c>
      <x:c r="F110" s="2" t="str">
        <x:v>CNY</x:v>
      </x:c>
      <x:c r="G110" s="17" t="n">
        <x:f>H93</x:f>
        <x:v>26.86</x:v>
      </x:c>
      <x:c r="H110" s="34" t="n">
        <x:v>27.04</x:v>
      </x:c>
      <x:c r="I110" s="34" t="n">
        <x:v>28.22</x:v>
      </x:c>
      <x:c r="J110" s="8" t="n">
        <x:v>46304</x:v>
      </x:c>
      <x:c r="K110" s="2" t="str">
        <x:v>Open</x:v>
      </x:c>
    </x:row>
    <x:row r="111" ht="27" customHeight="1">
      <x:c r="A111" s="9" t="n">
        <x:v>46304</x:v>
      </x:c>
      <x:c r="B111" s="10" t="str">
        <x:v>Teradyne</x:v>
      </x:c>
      <x:c r="C111" s="10" t="str">
        <x:v>TER</x:v>
      </x:c>
      <x:c r="D111" s="10" t="str">
        <x:v>TER</x:v>
      </x:c>
      <x:c r="E111" s="10" t="str">
        <x:v>XNAS</x:v>
      </x:c>
      <x:c r="F111" s="10" t="str">
        <x:v>USD</x:v>
      </x:c>
      <x:c r="G111" s="33" t="n">
        <x:f>H94</x:f>
        <x:v>398.72</x:v>
      </x:c>
      <x:c r="H111" s="35" t="n">
        <x:v>402.68</x:v>
      </x:c>
      <x:c r="I111" s="35" t="n">
        <x:v>415.79</x:v>
      </x:c>
      <x:c r="J111" s="9" t="n">
        <x:v>46304</x:v>
      </x:c>
      <x:c r="K111" s="10" t="str">
        <x:v>Open</x:v>
      </x:c>
    </x:row>
    <x:row r="112" ht="27" customHeight="1">
      <x:c r="A112" s="8" t="n">
        <x:v>46304</x:v>
      </x:c>
      <x:c r="B112" s="2" t="str">
        <x:v>Nabtesco</x:v>
      </x:c>
      <x:c r="C112" s="2" t="str">
        <x:v>6268</x:v>
      </x:c>
      <x:c r="D112" s="2" t="str">
        <x:v>6268.T</x:v>
      </x:c>
      <x:c r="E112" s="2" t="str">
        <x:v>XJPX</x:v>
      </x:c>
      <x:c r="F112" s="2" t="str">
        <x:v>JPY</x:v>
      </x:c>
      <x:c r="G112" s="17" t="n">
        <x:f>H95</x:f>
        <x:v>4795</x:v>
      </x:c>
      <x:c r="H112" s="34" t="n">
        <x:v>4859</x:v>
      </x:c>
      <x:c r="I112" s="34" t="n">
        <x:v>4975</x:v>
      </x:c>
      <x:c r="J112" s="8" t="n">
        <x:v>46304</x:v>
      </x:c>
      <x:c r="K112" s="2" t="str">
        <x:v>Open</x:v>
      </x:c>
    </x:row>
    <x:row r="113" ht="27" customHeight="1">
      <x:c r="A113" s="9" t="n">
        <x:v>46304</x:v>
      </x:c>
      <x:c r="B113" s="10" t="str">
        <x:v>Inovance</x:v>
      </x:c>
      <x:c r="C113" s="10" t="str">
        <x:v>300124</x:v>
      </x:c>
      <x:c r="D113" s="10" t="str">
        <x:v>300124.SZ</x:v>
      </x:c>
      <x:c r="E113" s="10" t="str">
        <x:v>XSHE</x:v>
      </x:c>
      <x:c r="F113" s="10" t="str">
        <x:v>CNY</x:v>
      </x:c>
      <x:c r="G113" s="33" t="n">
        <x:f>H96</x:f>
        <x:v>49.85</x:v>
      </x:c>
      <x:c r="H113" s="35" t="n">
        <x:v>50.59</x:v>
      </x:c>
      <x:c r="I113" s="35" t="n">
        <x:v>51.9</x:v>
      </x:c>
      <x:c r="J113" s="9" t="n">
        <x:v>46304</x:v>
      </x:c>
      <x:c r="K113" s="10" t="str">
        <x:v>Open</x:v>
      </x:c>
    </x:row>
    <x:row r="114" ht="27" customHeight="1">
      <x:c r="A114" s="8" t="n">
        <x:v>46304</x:v>
      </x:c>
      <x:c r="B114" s="2" t="str">
        <x:v>Keyence</x:v>
      </x:c>
      <x:c r="C114" s="2" t="str">
        <x:v>6861</x:v>
      </x:c>
      <x:c r="D114" s="2" t="str">
        <x:v>6861.T</x:v>
      </x:c>
      <x:c r="E114" s="2" t="str">
        <x:v>XJPX</x:v>
      </x:c>
      <x:c r="F114" s="2" t="str">
        <x:v>JPY</x:v>
      </x:c>
      <x:c r="G114" s="17" t="n">
        <x:f>H97</x:f>
        <x:v>80000</x:v>
      </x:c>
      <x:c r="H114" s="34" t="n">
        <x:v>80540</x:v>
      </x:c>
      <x:c r="I114" s="34" t="n">
        <x:v>81200</x:v>
      </x:c>
      <x:c r="J114" s="8" t="n">
        <x:v>46304</x:v>
      </x:c>
      <x:c r="K114" s="2" t="str">
        <x:v>Open</x:v>
      </x:c>
    </x:row>
    <x:row r="115" ht="27" customHeight="1">
      <x:c r="A115" s="9" t="n">
        <x:v>46304</x:v>
      </x:c>
      <x:c r="B115" s="10" t="str">
        <x:v>Cognex</x:v>
      </x:c>
      <x:c r="C115" s="10" t="str">
        <x:v>CGNX</x:v>
      </x:c>
      <x:c r="D115" s="10" t="str">
        <x:v>CGNX</x:v>
      </x:c>
      <x:c r="E115" s="10" t="str">
        <x:v>XNAS</x:v>
      </x:c>
      <x:c r="F115" s="10" t="str">
        <x:v>USD</x:v>
      </x:c>
      <x:c r="G115" s="33" t="n">
        <x:f>H98</x:f>
        <x:v>60.91</x:v>
      </x:c>
      <x:c r="H115" s="35" t="n">
        <x:v>62.92</x:v>
      </x:c>
      <x:c r="I115" s="35" t="n">
        <x:v>62.22</x:v>
      </x:c>
      <x:c r="J115" s="9" t="n">
        <x:v>46304</x:v>
      </x:c>
      <x:c r="K115" s="10" t="str">
        <x:v>Open</x:v>
      </x:c>
    </x:row>
    <x:row r="116" ht="27" customHeight="1">
      <x:c r="A116" s="8" t="n">
        <x:v>46304</x:v>
      </x:c>
      <x:c r="B116" s="2" t="str">
        <x:v>Ouster</x:v>
      </x:c>
      <x:c r="C116" s="2" t="str">
        <x:v>OUST</x:v>
      </x:c>
      <x:c r="D116" s="2" t="str">
        <x:v>OUST</x:v>
      </x:c>
      <x:c r="E116" s="2" t="str">
        <x:v>XNAS</x:v>
      </x:c>
      <x:c r="F116" s="2" t="str">
        <x:v>USD</x:v>
      </x:c>
      <x:c r="G116" s="17" t="n">
        <x:f>H99</x:f>
        <x:v>39.53</x:v>
      </x:c>
      <x:c r="H116" s="34" t="n">
        <x:v>39.9</x:v>
      </x:c>
      <x:c r="I116" s="34" t="n">
        <x:v>40.87</x:v>
      </x:c>
      <x:c r="J116" s="8" t="n">
        <x:v>46304</x:v>
      </x:c>
      <x:c r="K116" s="2" t="str">
        <x:v>Open</x:v>
      </x:c>
    </x:row>
    <x:row r="117" ht="27" customHeight="1">
      <x:c r="A117" s="9" t="n">
        <x:v>46304</x:v>
      </x:c>
      <x:c r="B117" s="10" t="str">
        <x:v>Hesai</x:v>
      </x:c>
      <x:c r="C117" s="10" t="str">
        <x:v>HSAI</x:v>
      </x:c>
      <x:c r="D117" s="10" t="str">
        <x:v>HSAI</x:v>
      </x:c>
      <x:c r="E117" s="10" t="str">
        <x:v>XNAS</x:v>
      </x:c>
      <x:c r="F117" s="10" t="str">
        <x:v>USD</x:v>
      </x:c>
      <x:c r="G117" s="33" t="n">
        <x:f>H100</x:f>
        <x:v>15.61</x:v>
      </x:c>
      <x:c r="H117" s="35" t="n">
        <x:v>16.01</x:v>
      </x:c>
      <x:c r="I117" s="35" t="n">
        <x:v>15.93</x:v>
      </x:c>
      <x:c r="J117" s="9" t="n">
        <x:v>46304</x:v>
      </x:c>
      <x:c r="K117" s="10" t="str">
        <x:v>Open</x:v>
      </x:c>
    </x:row>
    <x:row r="118" ht="27" customHeight="1">
      <x:c r="A118" s="8" t="n">
        <x:v>46304</x:v>
      </x:c>
      <x:c r="B118" s="2" t="str">
        <x:v>Rockwell Automation</x:v>
      </x:c>
      <x:c r="C118" s="2" t="str">
        <x:v>ROK</x:v>
      </x:c>
      <x:c r="D118" s="2" t="str">
        <x:v>ROK</x:v>
      </x:c>
      <x:c r="E118" s="2" t="str">
        <x:v>XNYS</x:v>
      </x:c>
      <x:c r="F118" s="2" t="str">
        <x:v>USD</x:v>
      </x:c>
      <x:c r="G118" s="17" t="n">
        <x:f>H101</x:f>
        <x:v>434.14</x:v>
      </x:c>
      <x:c r="H118" s="34" t="n">
        <x:v>432.59</x:v>
      </x:c>
      <x:c r="I118" s="34" t="n">
        <x:v>442.45</x:v>
      </x:c>
      <x:c r="J118" s="8" t="n">
        <x:v>46304</x:v>
      </x:c>
      <x:c r="K118" s="2" t="str">
        <x:v>Open</x:v>
      </x:c>
    </x:row>
    <x:row r="119" ht="27" customHeight="1">
      <x:c r="A119" s="9" t="n">
        <x:v>46304</x:v>
      </x:c>
      <x:c r="B119" s="10" t="str">
        <x:v>Siemens</x:v>
      </x:c>
      <x:c r="C119" s="10" t="str">
        <x:v>SIE</x:v>
      </x:c>
      <x:c r="D119" s="10" t="str">
        <x:v>SIE.DE</x:v>
      </x:c>
      <x:c r="E119" s="10" t="str">
        <x:v>XETR</x:v>
      </x:c>
      <x:c r="F119" s="10" t="str">
        <x:v>EUR</x:v>
      </x:c>
      <x:c r="G119" s="33" t="n">
        <x:f>H102</x:f>
        <x:v>264.25</x:v>
      </x:c>
      <x:c r="H119" s="35" t="n">
        <x:v>272.1</x:v>
      </x:c>
      <x:c r="I119" s="35" t="n">
        <x:v>271.9</x:v>
      </x:c>
      <x:c r="J119" s="9" t="n">
        <x:v>46304</x:v>
      </x:c>
      <x:c r="K119" s="10" t="str">
        <x:v>Open</x:v>
      </x:c>
    </x:row>
    <x:row r="120" ht="27" customHeight="1">
      <x:c r="A120" s="8" t="n">
        <x:v>46304</x:v>
      </x:c>
      <x:c r="B120" s="2" t="str">
        <x:v>NXP Semiconductors</x:v>
      </x:c>
      <x:c r="C120" s="2" t="str">
        <x:v>NXPI</x:v>
      </x:c>
      <x:c r="D120" s="2" t="str">
        <x:v>NXPI</x:v>
      </x:c>
      <x:c r="E120" s="2" t="str">
        <x:v>XNAS</x:v>
      </x:c>
      <x:c r="F120" s="2" t="str">
        <x:v>USD</x:v>
      </x:c>
      <x:c r="G120" s="17" t="n">
        <x:f>H103</x:f>
        <x:v>231.07</x:v>
      </x:c>
      <x:c r="H120" s="34" t="n">
        <x:v>227.52</x:v>
      </x:c>
      <x:c r="I120" s="34" t="n">
        <x:v>239.19</x:v>
      </x:c>
      <x:c r="J120" s="8" t="n">
        <x:v>46304</x:v>
      </x:c>
      <x:c r="K120" s="2" t="str">
        <x:v>Open</x:v>
      </x:c>
    </x:row>
    <x:row r="121" ht="27" customHeight="1">
      <x:c r="A121" s="9" t="n">
        <x:v>46304</x:v>
      </x:c>
      <x:c r="B121" s="10" t="str">
        <x:v>Daifuku</x:v>
      </x:c>
      <x:c r="C121" s="10" t="str">
        <x:v>6383</x:v>
      </x:c>
      <x:c r="D121" s="10" t="str">
        <x:v>6383.T</x:v>
      </x:c>
      <x:c r="E121" s="10" t="str">
        <x:v>XJPX</x:v>
      </x:c>
      <x:c r="F121" s="10" t="str">
        <x:v>JPY</x:v>
      </x:c>
      <x:c r="G121" s="33" t="n">
        <x:f>H104</x:f>
        <x:v>5716</x:v>
      </x:c>
      <x:c r="H121" s="35" t="n">
        <x:v>5773</x:v>
      </x:c>
      <x:c r="I121" s="35" t="n">
        <x:v>5832</x:v>
      </x:c>
      <x:c r="J121" s="9" t="n">
        <x:v>46304</x:v>
      </x:c>
      <x:c r="K121" s="10" t="str">
        <x:v>Open</x:v>
      </x:c>
    </x:row>
    <x:row r="122" ht="27" customHeight="1">
      <x:c r="A122" s="8" t="n">
        <x:v>46304</x:v>
      </x:c>
      <x:c r="B122" s="2" t="str">
        <x:v>Hexagon</x:v>
      </x:c>
      <x:c r="C122" s="2" t="str">
        <x:v>HEXA B</x:v>
      </x:c>
      <x:c r="D122" s="2" t="str">
        <x:v>HEXA-B.ST</x:v>
      </x:c>
      <x:c r="E122" s="2" t="str">
        <x:v>XSTO</x:v>
      </x:c>
      <x:c r="F122" s="2" t="str">
        <x:v>SEK</x:v>
      </x:c>
      <x:c r="G122" s="17" t="n">
        <x:f>H105</x:f>
        <x:v>101.25</x:v>
      </x:c>
      <x:c r="H122" s="34" t="n">
        <x:v>104.15</x:v>
      </x:c>
      <x:c r="I122" s="34" t="n">
        <x:v>99.02</x:v>
      </x:c>
      <x:c r="J122" s="8" t="n">
        <x:v>46304</x:v>
      </x:c>
      <x:c r="K122" s="2" t="str">
        <x:v>Open</x:v>
      </x:c>
    </x:row>
    <x:row r="123" ht="27" customHeight="1">
      <x:c r="A123" s="9" t="n">
        <x:v>46304</x:v>
      </x:c>
      <x:c r="B123" s="10" t="str">
        <x:v>S&amp;P 500</x:v>
      </x:c>
      <x:c r="C123" s="10" t="str">
        <x:v>S&amp;P 500</x:v>
      </x:c>
      <x:c r="D123" s="10" t="str">
        <x:v>GSPC.INDX</x:v>
      </x:c>
      <x:c r="E123" s="10" t="str">
        <x:v>INDX</x:v>
      </x:c>
      <x:c r="F123" s="10" t="str">
        <x:v>USD</x:v>
      </x:c>
      <x:c r="G123" s="33" t="n">
        <x:f>H106</x:f>
        <x:v>7765.36</x:v>
      </x:c>
      <x:c r="H123" s="35" t="n">
        <x:v>7811.54</x:v>
      </x:c>
      <x:c r="I123" s="35" t="n">
        <x:v>7666.45</x:v>
      </x:c>
      <x:c r="J123" s="9" t="n">
        <x:v>46304</x:v>
      </x:c>
      <x:c r="K123" s="10" t="str">
        <x:v>Open</x:v>
      </x:c>
    </x:row>
    <x:row r="124" ht="27" customHeight="1">
      <x:c r="A124" s="8" t="n">
        <x:v>46304</x:v>
      </x:c>
      <x:c r="B124" s="2" t="str">
        <x:v>Nasdaq Composite</x:v>
      </x:c>
      <x:c r="C124" s="2" t="str">
        <x:v>Nasdaq Composite</x:v>
      </x:c>
      <x:c r="D124" s="2" t="str">
        <x:v>IXIC.INDX</x:v>
      </x:c>
      <x:c r="E124" s="2" t="str">
        <x:v>INDX</x:v>
      </x:c>
      <x:c r="F124" s="2" t="str">
        <x:v>USD</x:v>
      </x:c>
      <x:c r="G124" s="17" t="n">
        <x:f>H107</x:f>
        <x:v>27193.3398</x:v>
      </x:c>
      <x:c r="H124" s="34" t="n">
        <x:v>27366.1699</x:v>
      </x:c>
      <x:c r="I124" s="34" t="n">
        <x:v>26871.5957</x:v>
      </x:c>
      <x:c r="J124" s="8" t="n">
        <x:v>46304</x:v>
      </x:c>
      <x:c r="K124" s="2" t="str">
        <x:v>Open</x:v>
      </x:c>
    </x:row>
    <x:row r="125" ht="27" customHeight="1">
      <x:c r="A125" s="9" t="n">
        <x:v>46307</x:v>
      </x:c>
      <x:c r="B125" s="10" t="str">
        <x:v>FANUC</x:v>
      </x:c>
      <x:c r="C125" s="10" t="str">
        <x:v>6954</x:v>
      </x:c>
      <x:c r="D125" s="10" t="str">
        <x:v>6954.T</x:v>
      </x:c>
      <x:c r="E125" s="10" t="str">
        <x:v>XJPX</x:v>
      </x:c>
      <x:c r="F125" s="10" t="str">
        <x:v>JPY</x:v>
      </x:c>
      <x:c r="G125" s="33" t="n">
        <x:f>H108</x:f>
        <x:v>6103</x:v>
      </x:c>
      <x:c r="H125" s="35" t="n">
        <x:v>6103</x:v>
      </x:c>
      <x:c r="I125" s="35" t="n">
        <x:v>6127</x:v>
      </x:c>
      <x:c r="J125" s="9" t="n">
        <x:v>46304</x:v>
      </x:c>
      <x:c r="K125" s="10" t="str">
        <x:v>Verified closure</x:v>
      </x:c>
    </x:row>
    <x:row r="126" ht="27" customHeight="1">
      <x:c r="A126" s="8" t="n">
        <x:v>46307</x:v>
      </x:c>
      <x:c r="B126" s="2" t="str">
        <x:v>Yaskawa Electric</x:v>
      </x:c>
      <x:c r="C126" s="2" t="str">
        <x:v>6506</x:v>
      </x:c>
      <x:c r="D126" s="2" t="str">
        <x:v>6506.T</x:v>
      </x:c>
      <x:c r="E126" s="2" t="str">
        <x:v>XJPX</x:v>
      </x:c>
      <x:c r="F126" s="2" t="str">
        <x:v>JPY</x:v>
      </x:c>
      <x:c r="G126" s="17" t="n">
        <x:f>H109</x:f>
        <x:v>4783</x:v>
      </x:c>
      <x:c r="H126" s="34" t="n">
        <x:v>4783</x:v>
      </x:c>
      <x:c r="I126" s="34" t="n">
        <x:v>4779</x:v>
      </x:c>
      <x:c r="J126" s="8" t="n">
        <x:v>46304</x:v>
      </x:c>
      <x:c r="K126" s="2" t="str">
        <x:v>Verified closure</x:v>
      </x:c>
    </x:row>
    <x:row r="127" ht="27" customHeight="1">
      <x:c r="A127" s="9" t="n">
        <x:v>46307</x:v>
      </x:c>
      <x:c r="B127" s="10" t="str">
        <x:v>Estun Automation</x:v>
      </x:c>
      <x:c r="C127" s="15" t="str">
        <x:v>002747</x:v>
      </x:c>
      <x:c r="D127" s="10" t="str">
        <x:v>002747.SZ</x:v>
      </x:c>
      <x:c r="E127" s="10" t="str">
        <x:v>XSHE</x:v>
      </x:c>
      <x:c r="F127" s="10" t="str">
        <x:v>CNY</x:v>
      </x:c>
      <x:c r="G127" s="33" t="n">
        <x:f>H110</x:f>
        <x:v>27.04</x:v>
      </x:c>
      <x:c r="H127" s="35" t="n">
        <x:v>26.01</x:v>
      </x:c>
      <x:c r="I127" s="35" t="n">
        <x:v>28.22</x:v>
      </x:c>
      <x:c r="J127" s="9" t="n">
        <x:v>46307</x:v>
      </x:c>
      <x:c r="K127" s="10" t="str">
        <x:v>Open</x:v>
      </x:c>
    </x:row>
    <x:row r="128" ht="27" customHeight="1">
      <x:c r="A128" s="8" t="n">
        <x:v>46307</x:v>
      </x:c>
      <x:c r="B128" s="2" t="str">
        <x:v>Teradyne</x:v>
      </x:c>
      <x:c r="C128" s="2" t="str">
        <x:v>TER</x:v>
      </x:c>
      <x:c r="D128" s="2" t="str">
        <x:v>TER</x:v>
      </x:c>
      <x:c r="E128" s="2" t="str">
        <x:v>XNAS</x:v>
      </x:c>
      <x:c r="F128" s="2" t="str">
        <x:v>USD</x:v>
      </x:c>
      <x:c r="G128" s="17" t="n">
        <x:f>H111</x:f>
        <x:v>402.68</x:v>
      </x:c>
      <x:c r="H128" s="34" t="n">
        <x:v>383.85</x:v>
      </x:c>
      <x:c r="I128" s="34" t="n">
        <x:v>415.79</x:v>
      </x:c>
      <x:c r="J128" s="8" t="n">
        <x:v>46307</x:v>
      </x:c>
      <x:c r="K128" s="2" t="str">
        <x:v>Open</x:v>
      </x:c>
    </x:row>
    <x:row r="129" ht="27" customHeight="1">
      <x:c r="A129" s="9" t="n">
        <x:v>46307</x:v>
      </x:c>
      <x:c r="B129" s="10" t="str">
        <x:v>Nabtesco</x:v>
      </x:c>
      <x:c r="C129" s="10" t="str">
        <x:v>6268</x:v>
      </x:c>
      <x:c r="D129" s="10" t="str">
        <x:v>6268.T</x:v>
      </x:c>
      <x:c r="E129" s="10" t="str">
        <x:v>XJPX</x:v>
      </x:c>
      <x:c r="F129" s="10" t="str">
        <x:v>JPY</x:v>
      </x:c>
      <x:c r="G129" s="33" t="n">
        <x:f>H112</x:f>
        <x:v>4859</x:v>
      </x:c>
      <x:c r="H129" s="35" t="n">
        <x:v>4859</x:v>
      </x:c>
      <x:c r="I129" s="35" t="n">
        <x:v>4975</x:v>
      </x:c>
      <x:c r="J129" s="9" t="n">
        <x:v>46304</x:v>
      </x:c>
      <x:c r="K129" s="10" t="str">
        <x:v>Verified closure</x:v>
      </x:c>
    </x:row>
    <x:row r="130" ht="27" customHeight="1">
      <x:c r="A130" s="8" t="n">
        <x:v>46307</x:v>
      </x:c>
      <x:c r="B130" s="2" t="str">
        <x:v>Inovance</x:v>
      </x:c>
      <x:c r="C130" s="2" t="str">
        <x:v>300124</x:v>
      </x:c>
      <x:c r="D130" s="2" t="str">
        <x:v>300124.SZ</x:v>
      </x:c>
      <x:c r="E130" s="2" t="str">
        <x:v>XSHE</x:v>
      </x:c>
      <x:c r="F130" s="2" t="str">
        <x:v>CNY</x:v>
      </x:c>
      <x:c r="G130" s="17" t="n">
        <x:f>H113</x:f>
        <x:v>50.59</x:v>
      </x:c>
      <x:c r="H130" s="34" t="n">
        <x:v>50.45</x:v>
      </x:c>
      <x:c r="I130" s="34" t="n">
        <x:v>51.9</x:v>
      </x:c>
      <x:c r="J130" s="8" t="n">
        <x:v>46307</x:v>
      </x:c>
      <x:c r="K130" s="2" t="str">
        <x:v>Open</x:v>
      </x:c>
    </x:row>
    <x:row r="131" ht="27" customHeight="1">
      <x:c r="A131" s="9" t="n">
        <x:v>46307</x:v>
      </x:c>
      <x:c r="B131" s="10" t="str">
        <x:v>Keyence</x:v>
      </x:c>
      <x:c r="C131" s="10" t="str">
        <x:v>6861</x:v>
      </x:c>
      <x:c r="D131" s="10" t="str">
        <x:v>6861.T</x:v>
      </x:c>
      <x:c r="E131" s="10" t="str">
        <x:v>XJPX</x:v>
      </x:c>
      <x:c r="F131" s="10" t="str">
        <x:v>JPY</x:v>
      </x:c>
      <x:c r="G131" s="33" t="n">
        <x:f>H114</x:f>
        <x:v>80540</x:v>
      </x:c>
      <x:c r="H131" s="35" t="n">
        <x:v>80540</x:v>
      </x:c>
      <x:c r="I131" s="35" t="n">
        <x:v>81200</x:v>
      </x:c>
      <x:c r="J131" s="9" t="n">
        <x:v>46304</x:v>
      </x:c>
      <x:c r="K131" s="10" t="str">
        <x:v>Verified closure</x:v>
      </x:c>
    </x:row>
    <x:row r="132" ht="27" customHeight="1">
      <x:c r="A132" s="8" t="n">
        <x:v>46307</x:v>
      </x:c>
      <x:c r="B132" s="2" t="str">
        <x:v>Cognex</x:v>
      </x:c>
      <x:c r="C132" s="2" t="str">
        <x:v>CGNX</x:v>
      </x:c>
      <x:c r="D132" s="2" t="str">
        <x:v>CGNX</x:v>
      </x:c>
      <x:c r="E132" s="2" t="str">
        <x:v>XNAS</x:v>
      </x:c>
      <x:c r="F132" s="2" t="str">
        <x:v>USD</x:v>
      </x:c>
      <x:c r="G132" s="17" t="n">
        <x:f>H115</x:f>
        <x:v>62.92</x:v>
      </x:c>
      <x:c r="H132" s="34" t="n">
        <x:v>61.82</x:v>
      </x:c>
      <x:c r="I132" s="34" t="n">
        <x:v>62.22</x:v>
      </x:c>
      <x:c r="J132" s="8" t="n">
        <x:v>46307</x:v>
      </x:c>
      <x:c r="K132" s="2" t="str">
        <x:v>Open</x:v>
      </x:c>
    </x:row>
    <x:row r="133" ht="27" customHeight="1">
      <x:c r="A133" s="9" t="n">
        <x:v>46307</x:v>
      </x:c>
      <x:c r="B133" s="10" t="str">
        <x:v>Ouster</x:v>
      </x:c>
      <x:c r="C133" s="10" t="str">
        <x:v>OUST</x:v>
      </x:c>
      <x:c r="D133" s="10" t="str">
        <x:v>OUST</x:v>
      </x:c>
      <x:c r="E133" s="10" t="str">
        <x:v>XNAS</x:v>
      </x:c>
      <x:c r="F133" s="10" t="str">
        <x:v>USD</x:v>
      </x:c>
      <x:c r="G133" s="33" t="n">
        <x:f>H116</x:f>
        <x:v>39.9</x:v>
      </x:c>
      <x:c r="H133" s="35" t="n">
        <x:v>37.27</x:v>
      </x:c>
      <x:c r="I133" s="35" t="n">
        <x:v>40.87</x:v>
      </x:c>
      <x:c r="J133" s="9" t="n">
        <x:v>46307</x:v>
      </x:c>
      <x:c r="K133" s="10" t="str">
        <x:v>Open</x:v>
      </x:c>
    </x:row>
    <x:row r="134" ht="27" customHeight="1">
      <x:c r="A134" s="8" t="n">
        <x:v>46307</x:v>
      </x:c>
      <x:c r="B134" s="2" t="str">
        <x:v>Hesai</x:v>
      </x:c>
      <x:c r="C134" s="2" t="str">
        <x:v>HSAI</x:v>
      </x:c>
      <x:c r="D134" s="2" t="str">
        <x:v>HSAI</x:v>
      </x:c>
      <x:c r="E134" s="2" t="str">
        <x:v>XNAS</x:v>
      </x:c>
      <x:c r="F134" s="2" t="str">
        <x:v>USD</x:v>
      </x:c>
      <x:c r="G134" s="17" t="n">
        <x:f>H117</x:f>
        <x:v>16.01</x:v>
      </x:c>
      <x:c r="H134" s="34" t="n">
        <x:v>15.12</x:v>
      </x:c>
      <x:c r="I134" s="34" t="n">
        <x:v>15.93</x:v>
      </x:c>
      <x:c r="J134" s="8" t="n">
        <x:v>46307</x:v>
      </x:c>
      <x:c r="K134" s="2" t="str">
        <x:v>Open</x:v>
      </x:c>
    </x:row>
    <x:row r="135" ht="27" customHeight="1">
      <x:c r="A135" s="9" t="n">
        <x:v>46307</x:v>
      </x:c>
      <x:c r="B135" s="10" t="str">
        <x:v>Rockwell Automation</x:v>
      </x:c>
      <x:c r="C135" s="10" t="str">
        <x:v>ROK</x:v>
      </x:c>
      <x:c r="D135" s="10" t="str">
        <x:v>ROK</x:v>
      </x:c>
      <x:c r="E135" s="10" t="str">
        <x:v>XNYS</x:v>
      </x:c>
      <x:c r="F135" s="10" t="str">
        <x:v>USD</x:v>
      </x:c>
      <x:c r="G135" s="33" t="n">
        <x:f>H118</x:f>
        <x:v>432.59</x:v>
      </x:c>
      <x:c r="H135" s="35" t="n">
        <x:v>433.97</x:v>
      </x:c>
      <x:c r="I135" s="35" t="n">
        <x:v>442.45</x:v>
      </x:c>
      <x:c r="J135" s="9" t="n">
        <x:v>46307</x:v>
      </x:c>
      <x:c r="K135" s="10" t="str">
        <x:v>Open</x:v>
      </x:c>
    </x:row>
    <x:row r="136" ht="27" customHeight="1">
      <x:c r="A136" s="8" t="n">
        <x:v>46307</x:v>
      </x:c>
      <x:c r="B136" s="2" t="str">
        <x:v>Siemens</x:v>
      </x:c>
      <x:c r="C136" s="2" t="str">
        <x:v>SIE</x:v>
      </x:c>
      <x:c r="D136" s="2" t="str">
        <x:v>SIE.DE</x:v>
      </x:c>
      <x:c r="E136" s="2" t="str">
        <x:v>XETR</x:v>
      </x:c>
      <x:c r="F136" s="2" t="str">
        <x:v>EUR</x:v>
      </x:c>
      <x:c r="G136" s="17" t="n">
        <x:f>H119</x:f>
        <x:v>272.1</x:v>
      </x:c>
      <x:c r="H136" s="34" t="n">
        <x:v>275.75</x:v>
      </x:c>
      <x:c r="I136" s="34" t="n">
        <x:v>271.9</x:v>
      </x:c>
      <x:c r="J136" s="8" t="n">
        <x:v>46307</x:v>
      </x:c>
      <x:c r="K136" s="2" t="str">
        <x:v>Open</x:v>
      </x:c>
    </x:row>
    <x:row r="137" ht="27" customHeight="1">
      <x:c r="A137" s="9" t="n">
        <x:v>46307</x:v>
      </x:c>
      <x:c r="B137" s="10" t="str">
        <x:v>NXP Semiconductors</x:v>
      </x:c>
      <x:c r="C137" s="10" t="str">
        <x:v>NXPI</x:v>
      </x:c>
      <x:c r="D137" s="10" t="str">
        <x:v>NXPI</x:v>
      </x:c>
      <x:c r="E137" s="10" t="str">
        <x:v>XNAS</x:v>
      </x:c>
      <x:c r="F137" s="10" t="str">
        <x:v>USD</x:v>
      </x:c>
      <x:c r="G137" s="33" t="n">
        <x:f>H120</x:f>
        <x:v>227.52</x:v>
      </x:c>
      <x:c r="H137" s="35" t="n">
        <x:v>225.21</x:v>
      </x:c>
      <x:c r="I137" s="35" t="n">
        <x:v>239.19</x:v>
      </x:c>
      <x:c r="J137" s="9" t="n">
        <x:v>46307</x:v>
      </x:c>
      <x:c r="K137" s="10" t="str">
        <x:v>Open</x:v>
      </x:c>
    </x:row>
    <x:row r="138" ht="27" customHeight="1">
      <x:c r="A138" s="8" t="n">
        <x:v>46307</x:v>
      </x:c>
      <x:c r="B138" s="2" t="str">
        <x:v>Daifuku</x:v>
      </x:c>
      <x:c r="C138" s="2" t="str">
        <x:v>6383</x:v>
      </x:c>
      <x:c r="D138" s="2" t="str">
        <x:v>6383.T</x:v>
      </x:c>
      <x:c r="E138" s="2" t="str">
        <x:v>XJPX</x:v>
      </x:c>
      <x:c r="F138" s="2" t="str">
        <x:v>JPY</x:v>
      </x:c>
      <x:c r="G138" s="17" t="n">
        <x:f>H121</x:f>
        <x:v>5773</x:v>
      </x:c>
      <x:c r="H138" s="34" t="n">
        <x:v>5773</x:v>
      </x:c>
      <x:c r="I138" s="34" t="n">
        <x:v>5832</x:v>
      </x:c>
      <x:c r="J138" s="8" t="n">
        <x:v>46304</x:v>
      </x:c>
      <x:c r="K138" s="2" t="str">
        <x:v>Verified closure</x:v>
      </x:c>
    </x:row>
    <x:row r="139" ht="27" customHeight="1">
      <x:c r="A139" s="9" t="n">
        <x:v>46307</x:v>
      </x:c>
      <x:c r="B139" s="10" t="str">
        <x:v>Hexagon</x:v>
      </x:c>
      <x:c r="C139" s="10" t="str">
        <x:v>HEXA B</x:v>
      </x:c>
      <x:c r="D139" s="10" t="str">
        <x:v>HEXA-B.ST</x:v>
      </x:c>
      <x:c r="E139" s="10" t="str">
        <x:v>XSTO</x:v>
      </x:c>
      <x:c r="F139" s="10" t="str">
        <x:v>SEK</x:v>
      </x:c>
      <x:c r="G139" s="33" t="n">
        <x:f>H122</x:f>
        <x:v>104.15</x:v>
      </x:c>
      <x:c r="H139" s="35" t="n">
        <x:v>104.75</x:v>
      </x:c>
      <x:c r="I139" s="35" t="n">
        <x:v>99.02</x:v>
      </x:c>
      <x:c r="J139" s="9" t="n">
        <x:v>46307</x:v>
      </x:c>
      <x:c r="K139" s="10" t="str">
        <x:v>Open</x:v>
      </x:c>
    </x:row>
    <x:row r="140" ht="27" customHeight="1">
      <x:c r="A140" s="8" t="n">
        <x:v>46307</x:v>
      </x:c>
      <x:c r="B140" s="2" t="str">
        <x:v>S&amp;P 500</x:v>
      </x:c>
      <x:c r="C140" s="2" t="str">
        <x:v>S&amp;P 500</x:v>
      </x:c>
      <x:c r="D140" s="2" t="str">
        <x:v>GSPC.INDX</x:v>
      </x:c>
      <x:c r="E140" s="2" t="str">
        <x:v>INDX</x:v>
      </x:c>
      <x:c r="F140" s="2" t="str">
        <x:v>USD</x:v>
      </x:c>
      <x:c r="G140" s="17" t="n">
        <x:f>H123</x:f>
        <x:v>7811.54</x:v>
      </x:c>
      <x:c r="H140" s="34" t="n">
        <x:v>7807.24</x:v>
      </x:c>
      <x:c r="I140" s="34" t="n">
        <x:v>7666.45</x:v>
      </x:c>
      <x:c r="J140" s="8" t="n">
        <x:v>46307</x:v>
      </x:c>
      <x:c r="K140" s="2" t="str">
        <x:v>Open</x:v>
      </x:c>
    </x:row>
    <x:row r="141" ht="27" customHeight="1">
      <x:c r="A141" s="9" t="n">
        <x:v>46307</x:v>
      </x:c>
      <x:c r="B141" s="10" t="str">
        <x:v>Nasdaq Composite</x:v>
      </x:c>
      <x:c r="C141" s="10" t="str">
        <x:v>Nasdaq Composite</x:v>
      </x:c>
      <x:c r="D141" s="10" t="str">
        <x:v>IXIC.INDX</x:v>
      </x:c>
      <x:c r="E141" s="10" t="str">
        <x:v>INDX</x:v>
      </x:c>
      <x:c r="F141" s="10" t="str">
        <x:v>USD</x:v>
      </x:c>
      <x:c r="G141" s="33" t="n">
        <x:f>H124</x:f>
        <x:v>27366.1699</x:v>
      </x:c>
      <x:c r="H141" s="35" t="n">
        <x:v>27245.9023</x:v>
      </x:c>
      <x:c r="I141" s="35" t="n">
        <x:v>26871.5957</x:v>
      </x:c>
      <x:c r="J141" s="9" t="n">
        <x:v>46307</x:v>
      </x:c>
      <x:c r="K141" s="10" t="str">
        <x:v>Open</x:v>
      </x:c>
    </x:row>
    <x:row r="142" ht="27" customHeight="1">
      <x:c r="A142" s="8" t="n">
        <x:v>46308</x:v>
      </x:c>
      <x:c r="B142" s="2" t="str">
        <x:v>FANUC</x:v>
      </x:c>
      <x:c r="C142" s="2" t="str">
        <x:v>6954</x:v>
      </x:c>
      <x:c r="D142" s="2" t="str">
        <x:v>6954.T</x:v>
      </x:c>
      <x:c r="E142" s="2" t="str">
        <x:v>XJPX</x:v>
      </x:c>
      <x:c r="F142" s="2" t="str">
        <x:v>JPY</x:v>
      </x:c>
      <x:c r="G142" s="17" t="n">
        <x:f>H125</x:f>
        <x:v>6103</x:v>
      </x:c>
      <x:c r="H142" s="34" t="n">
        <x:v>6192</x:v>
      </x:c>
      <x:c r="I142" s="34" t="n">
        <x:v>6127</x:v>
      </x:c>
      <x:c r="J142" s="8" t="n">
        <x:v>46308</x:v>
      </x:c>
      <x:c r="K142" s="2" t="str">
        <x:v>Open</x:v>
      </x:c>
    </x:row>
    <x:row r="143" ht="27" customHeight="1">
      <x:c r="A143" s="9" t="n">
        <x:v>46308</x:v>
      </x:c>
      <x:c r="B143" s="10" t="str">
        <x:v>Yaskawa Electric</x:v>
      </x:c>
      <x:c r="C143" s="10" t="str">
        <x:v>6506</x:v>
      </x:c>
      <x:c r="D143" s="10" t="str">
        <x:v>6506.T</x:v>
      </x:c>
      <x:c r="E143" s="10" t="str">
        <x:v>XJPX</x:v>
      </x:c>
      <x:c r="F143" s="10" t="str">
        <x:v>JPY</x:v>
      </x:c>
      <x:c r="G143" s="33" t="n">
        <x:f>H126</x:f>
        <x:v>4783</x:v>
      </x:c>
      <x:c r="H143" s="35" t="n">
        <x:v>4840</x:v>
      </x:c>
      <x:c r="I143" s="35" t="n">
        <x:v>4779</x:v>
      </x:c>
      <x:c r="J143" s="9" t="n">
        <x:v>46308</x:v>
      </x:c>
      <x:c r="K143" s="10" t="str">
        <x:v>Open</x:v>
      </x:c>
    </x:row>
    <x:row r="144" ht="27" customHeight="1">
      <x:c r="A144" s="8" t="n">
        <x:v>46308</x:v>
      </x:c>
      <x:c r="B144" s="2" t="str">
        <x:v>Estun Automation</x:v>
      </x:c>
      <x:c r="C144" s="13" t="str">
        <x:v>002747</x:v>
      </x:c>
      <x:c r="D144" s="2" t="str">
        <x:v>002747.SZ</x:v>
      </x:c>
      <x:c r="E144" s="2" t="str">
        <x:v>XSHE</x:v>
      </x:c>
      <x:c r="F144" s="2" t="str">
        <x:v>CNY</x:v>
      </x:c>
      <x:c r="G144" s="17" t="n">
        <x:f>H127</x:f>
        <x:v>26.01</x:v>
      </x:c>
      <x:c r="H144" s="34" t="n">
        <x:v>25.88</x:v>
      </x:c>
      <x:c r="I144" s="34" t="n">
        <x:v>28.22</x:v>
      </x:c>
      <x:c r="J144" s="8" t="n">
        <x:v>46308</x:v>
      </x:c>
      <x:c r="K144" s="2" t="str">
        <x:v>Open</x:v>
      </x:c>
    </x:row>
    <x:row r="145" ht="27" customHeight="1">
      <x:c r="A145" s="9" t="n">
        <x:v>46308</x:v>
      </x:c>
      <x:c r="B145" s="10" t="str">
        <x:v>Teradyne</x:v>
      </x:c>
      <x:c r="C145" s="10" t="str">
        <x:v>TER</x:v>
      </x:c>
      <x:c r="D145" s="10" t="str">
        <x:v>TER</x:v>
      </x:c>
      <x:c r="E145" s="10" t="str">
        <x:v>XNAS</x:v>
      </x:c>
      <x:c r="F145" s="10" t="str">
        <x:v>USD</x:v>
      </x:c>
      <x:c r="G145" s="33" t="n">
        <x:f>H128</x:f>
        <x:v>383.85</x:v>
      </x:c>
      <x:c r="H145" s="35" t="n">
        <x:v>380.29</x:v>
      </x:c>
      <x:c r="I145" s="35" t="n">
        <x:v>415.79</x:v>
      </x:c>
      <x:c r="J145" s="9" t="n">
        <x:v>46308</x:v>
      </x:c>
      <x:c r="K145" s="10" t="str">
        <x:v>Open</x:v>
      </x:c>
    </x:row>
    <x:row r="146" ht="27" customHeight="1">
      <x:c r="A146" s="8" t="n">
        <x:v>46308</x:v>
      </x:c>
      <x:c r="B146" s="2" t="str">
        <x:v>Nabtesco</x:v>
      </x:c>
      <x:c r="C146" s="2" t="str">
        <x:v>6268</x:v>
      </x:c>
      <x:c r="D146" s="2" t="str">
        <x:v>6268.T</x:v>
      </x:c>
      <x:c r="E146" s="2" t="str">
        <x:v>XJPX</x:v>
      </x:c>
      <x:c r="F146" s="2" t="str">
        <x:v>JPY</x:v>
      </x:c>
      <x:c r="G146" s="17" t="n">
        <x:f>H129</x:f>
        <x:v>4859</x:v>
      </x:c>
      <x:c r="H146" s="34" t="n">
        <x:v>4862</x:v>
      </x:c>
      <x:c r="I146" s="34" t="n">
        <x:v>4975</x:v>
      </x:c>
      <x:c r="J146" s="8" t="n">
        <x:v>46308</x:v>
      </x:c>
      <x:c r="K146" s="2" t="str">
        <x:v>Open</x:v>
      </x:c>
    </x:row>
    <x:row r="147" ht="27" customHeight="1">
      <x:c r="A147" s="9" t="n">
        <x:v>46308</x:v>
      </x:c>
      <x:c r="B147" s="10" t="str">
        <x:v>Inovance</x:v>
      </x:c>
      <x:c r="C147" s="10" t="str">
        <x:v>300124</x:v>
      </x:c>
      <x:c r="D147" s="10" t="str">
        <x:v>300124.SZ</x:v>
      </x:c>
      <x:c r="E147" s="10" t="str">
        <x:v>XSHE</x:v>
      </x:c>
      <x:c r="F147" s="10" t="str">
        <x:v>CNY</x:v>
      </x:c>
      <x:c r="G147" s="33" t="n">
        <x:f>H130</x:f>
        <x:v>50.45</x:v>
      </x:c>
      <x:c r="H147" s="35" t="n">
        <x:v>50.89</x:v>
      </x:c>
      <x:c r="I147" s="35" t="n">
        <x:v>51.9</x:v>
      </x:c>
      <x:c r="J147" s="9" t="n">
        <x:v>46308</x:v>
      </x:c>
      <x:c r="K147" s="10" t="str">
        <x:v>Open</x:v>
      </x:c>
    </x:row>
    <x:row r="148" ht="27" customHeight="1">
      <x:c r="A148" s="8" t="n">
        <x:v>46308</x:v>
      </x:c>
      <x:c r="B148" s="2" t="str">
        <x:v>Keyence</x:v>
      </x:c>
      <x:c r="C148" s="2" t="str">
        <x:v>6861</x:v>
      </x:c>
      <x:c r="D148" s="2" t="str">
        <x:v>6861.T</x:v>
      </x:c>
      <x:c r="E148" s="2" t="str">
        <x:v>XJPX</x:v>
      </x:c>
      <x:c r="F148" s="2" t="str">
        <x:v>JPY</x:v>
      </x:c>
      <x:c r="G148" s="17" t="n">
        <x:f>H131</x:f>
        <x:v>80540</x:v>
      </x:c>
      <x:c r="H148" s="34" t="n">
        <x:v>79770</x:v>
      </x:c>
      <x:c r="I148" s="34" t="n">
        <x:v>81200</x:v>
      </x:c>
      <x:c r="J148" s="8" t="n">
        <x:v>46308</x:v>
      </x:c>
      <x:c r="K148" s="2" t="str">
        <x:v>Open</x:v>
      </x:c>
    </x:row>
    <x:row r="149" ht="27" customHeight="1">
      <x:c r="A149" s="9" t="n">
        <x:v>46308</x:v>
      </x:c>
      <x:c r="B149" s="10" t="str">
        <x:v>Cognex</x:v>
      </x:c>
      <x:c r="C149" s="10" t="str">
        <x:v>CGNX</x:v>
      </x:c>
      <x:c r="D149" s="10" t="str">
        <x:v>CGNX</x:v>
      </x:c>
      <x:c r="E149" s="10" t="str">
        <x:v>XNAS</x:v>
      </x:c>
      <x:c r="F149" s="10" t="str">
        <x:v>USD</x:v>
      </x:c>
      <x:c r="G149" s="33" t="n">
        <x:f>H132</x:f>
        <x:v>61.82</x:v>
      </x:c>
      <x:c r="H149" s="35" t="n">
        <x:v>60.01</x:v>
      </x:c>
      <x:c r="I149" s="35" t="n">
        <x:v>62.22</x:v>
      </x:c>
      <x:c r="J149" s="9" t="n">
        <x:v>46308</x:v>
      </x:c>
      <x:c r="K149" s="10" t="str">
        <x:v>Open</x:v>
      </x:c>
    </x:row>
    <x:row r="150" ht="27" customHeight="1">
      <x:c r="A150" s="8" t="n">
        <x:v>46308</x:v>
      </x:c>
      <x:c r="B150" s="2" t="str">
        <x:v>Ouster</x:v>
      </x:c>
      <x:c r="C150" s="2" t="str">
        <x:v>OUST</x:v>
      </x:c>
      <x:c r="D150" s="2" t="str">
        <x:v>OUST</x:v>
      </x:c>
      <x:c r="E150" s="2" t="str">
        <x:v>XNAS</x:v>
      </x:c>
      <x:c r="F150" s="2" t="str">
        <x:v>USD</x:v>
      </x:c>
      <x:c r="G150" s="17" t="n">
        <x:f>H133</x:f>
        <x:v>37.27</x:v>
      </x:c>
      <x:c r="H150" s="34" t="n">
        <x:v>35.33</x:v>
      </x:c>
      <x:c r="I150" s="34" t="n">
        <x:v>40.87</x:v>
      </x:c>
      <x:c r="J150" s="8" t="n">
        <x:v>46308</x:v>
      </x:c>
      <x:c r="K150" s="2" t="str">
        <x:v>Open</x:v>
      </x:c>
    </x:row>
    <x:row r="151" ht="27" customHeight="1">
      <x:c r="A151" s="9" t="n">
        <x:v>46308</x:v>
      </x:c>
      <x:c r="B151" s="10" t="str">
        <x:v>Hesai</x:v>
      </x:c>
      <x:c r="C151" s="10" t="str">
        <x:v>HSAI</x:v>
      </x:c>
      <x:c r="D151" s="10" t="str">
        <x:v>HSAI</x:v>
      </x:c>
      <x:c r="E151" s="10" t="str">
        <x:v>XNAS</x:v>
      </x:c>
      <x:c r="F151" s="10" t="str">
        <x:v>USD</x:v>
      </x:c>
      <x:c r="G151" s="33" t="n">
        <x:f>H134</x:f>
        <x:v>15.12</x:v>
      </x:c>
      <x:c r="H151" s="35" t="n">
        <x:v>14.46</x:v>
      </x:c>
      <x:c r="I151" s="35" t="n">
        <x:v>15.93</x:v>
      </x:c>
      <x:c r="J151" s="9" t="n">
        <x:v>46308</x:v>
      </x:c>
      <x:c r="K151" s="10" t="str">
        <x:v>Open</x:v>
      </x:c>
    </x:row>
    <x:row r="152" ht="27" customHeight="1">
      <x:c r="A152" s="8" t="n">
        <x:v>46308</x:v>
      </x:c>
      <x:c r="B152" s="2" t="str">
        <x:v>Rockwell Automation</x:v>
      </x:c>
      <x:c r="C152" s="2" t="str">
        <x:v>ROK</x:v>
      </x:c>
      <x:c r="D152" s="2" t="str">
        <x:v>ROK</x:v>
      </x:c>
      <x:c r="E152" s="2" t="str">
        <x:v>XNYS</x:v>
      </x:c>
      <x:c r="F152" s="2" t="str">
        <x:v>USD</x:v>
      </x:c>
      <x:c r="G152" s="17" t="n">
        <x:f>H135</x:f>
        <x:v>433.97</x:v>
      </x:c>
      <x:c r="H152" s="34" t="n">
        <x:v>432.29</x:v>
      </x:c>
      <x:c r="I152" s="34" t="n">
        <x:v>442.45</x:v>
      </x:c>
      <x:c r="J152" s="8" t="n">
        <x:v>46308</x:v>
      </x:c>
      <x:c r="K152" s="2" t="str">
        <x:v>Open</x:v>
      </x:c>
    </x:row>
    <x:row r="153" ht="27" customHeight="1">
      <x:c r="A153" s="9" t="n">
        <x:v>46308</x:v>
      </x:c>
      <x:c r="B153" s="10" t="str">
        <x:v>Siemens</x:v>
      </x:c>
      <x:c r="C153" s="10" t="str">
        <x:v>SIE</x:v>
      </x:c>
      <x:c r="D153" s="10" t="str">
        <x:v>SIE.DE</x:v>
      </x:c>
      <x:c r="E153" s="10" t="str">
        <x:v>XETR</x:v>
      </x:c>
      <x:c r="F153" s="10" t="str">
        <x:v>EUR</x:v>
      </x:c>
      <x:c r="G153" s="33" t="n">
        <x:f>H136</x:f>
        <x:v>275.75</x:v>
      </x:c>
      <x:c r="H153" s="35" t="n">
        <x:v>274.5</x:v>
      </x:c>
      <x:c r="I153" s="35" t="n">
        <x:v>271.9</x:v>
      </x:c>
      <x:c r="J153" s="9" t="n">
        <x:v>46308</x:v>
      </x:c>
      <x:c r="K153" s="10" t="str">
        <x:v>Open</x:v>
      </x:c>
    </x:row>
    <x:row r="154" ht="27" customHeight="1">
      <x:c r="A154" s="8" t="n">
        <x:v>46308</x:v>
      </x:c>
      <x:c r="B154" s="2" t="str">
        <x:v>NXP Semiconductors</x:v>
      </x:c>
      <x:c r="C154" s="2" t="str">
        <x:v>NXPI</x:v>
      </x:c>
      <x:c r="D154" s="2" t="str">
        <x:v>NXPI</x:v>
      </x:c>
      <x:c r="E154" s="2" t="str">
        <x:v>XNAS</x:v>
      </x:c>
      <x:c r="F154" s="2" t="str">
        <x:v>USD</x:v>
      </x:c>
      <x:c r="G154" s="17" t="n">
        <x:f>H137</x:f>
        <x:v>225.21</x:v>
      </x:c>
      <x:c r="H154" s="34" t="n">
        <x:v>226.32</x:v>
      </x:c>
      <x:c r="I154" s="34" t="n">
        <x:v>239.19</x:v>
      </x:c>
      <x:c r="J154" s="8" t="n">
        <x:v>46308</x:v>
      </x:c>
      <x:c r="K154" s="2" t="str">
        <x:v>Open</x:v>
      </x:c>
    </x:row>
    <x:row r="155" ht="27" customHeight="1">
      <x:c r="A155" s="9" t="n">
        <x:v>46308</x:v>
      </x:c>
      <x:c r="B155" s="10" t="str">
        <x:v>Daifuku</x:v>
      </x:c>
      <x:c r="C155" s="10" t="str">
        <x:v>6383</x:v>
      </x:c>
      <x:c r="D155" s="10" t="str">
        <x:v>6383.T</x:v>
      </x:c>
      <x:c r="E155" s="10" t="str">
        <x:v>XJPX</x:v>
      </x:c>
      <x:c r="F155" s="10" t="str">
        <x:v>JPY</x:v>
      </x:c>
      <x:c r="G155" s="33" t="n">
        <x:f>H138</x:f>
        <x:v>5773</x:v>
      </x:c>
      <x:c r="H155" s="35" t="n">
        <x:v>5806</x:v>
      </x:c>
      <x:c r="I155" s="35" t="n">
        <x:v>5832</x:v>
      </x:c>
      <x:c r="J155" s="9" t="n">
        <x:v>46308</x:v>
      </x:c>
      <x:c r="K155" s="10" t="str">
        <x:v>Open</x:v>
      </x:c>
    </x:row>
    <x:row r="156" ht="27" customHeight="1">
      <x:c r="A156" s="8" t="n">
        <x:v>46308</x:v>
      </x:c>
      <x:c r="B156" s="2" t="str">
        <x:v>Hexagon</x:v>
      </x:c>
      <x:c r="C156" s="2" t="str">
        <x:v>HEXA B</x:v>
      </x:c>
      <x:c r="D156" s="2" t="str">
        <x:v>HEXA-B.ST</x:v>
      </x:c>
      <x:c r="E156" s="2" t="str">
        <x:v>XSTO</x:v>
      </x:c>
      <x:c r="F156" s="2" t="str">
        <x:v>SEK</x:v>
      </x:c>
      <x:c r="G156" s="17" t="n">
        <x:f>H139</x:f>
        <x:v>104.75</x:v>
      </x:c>
      <x:c r="H156" s="34" t="n">
        <x:v>104.4</x:v>
      </x:c>
      <x:c r="I156" s="34" t="n">
        <x:v>99.02</x:v>
      </x:c>
      <x:c r="J156" s="8" t="n">
        <x:v>46308</x:v>
      </x:c>
      <x:c r="K156" s="2" t="str">
        <x:v>Open</x:v>
      </x:c>
    </x:row>
    <x:row r="157" ht="27" customHeight="1">
      <x:c r="A157" s="9" t="n">
        <x:v>46308</x:v>
      </x:c>
      <x:c r="B157" s="10" t="str">
        <x:v>S&amp;P 500</x:v>
      </x:c>
      <x:c r="C157" s="10" t="str">
        <x:v>S&amp;P 500</x:v>
      </x:c>
      <x:c r="D157" s="10" t="str">
        <x:v>GSPC.INDX</x:v>
      </x:c>
      <x:c r="E157" s="10" t="str">
        <x:v>INDX</x:v>
      </x:c>
      <x:c r="F157" s="10" t="str">
        <x:v>USD</x:v>
      </x:c>
      <x:c r="G157" s="33" t="n">
        <x:f>H140</x:f>
        <x:v>7807.24</x:v>
      </x:c>
      <x:c r="H157" s="35" t="n">
        <x:v>7805.45</x:v>
      </x:c>
      <x:c r="I157" s="35" t="n">
        <x:v>7666.45</x:v>
      </x:c>
      <x:c r="J157" s="9" t="n">
        <x:v>46308</x:v>
      </x:c>
      <x:c r="K157" s="10" t="str">
        <x:v>Open</x:v>
      </x:c>
    </x:row>
    <x:row r="158" ht="27" customHeight="1">
      <x:c r="A158" s="8" t="n">
        <x:v>46308</x:v>
      </x:c>
      <x:c r="B158" s="2" t="str">
        <x:v>Nasdaq Composite</x:v>
      </x:c>
      <x:c r="C158" s="2" t="str">
        <x:v>Nasdaq Composite</x:v>
      </x:c>
      <x:c r="D158" s="2" t="str">
        <x:v>IXIC.INDX</x:v>
      </x:c>
      <x:c r="E158" s="2" t="str">
        <x:v>INDX</x:v>
      </x:c>
      <x:c r="F158" s="2" t="str">
        <x:v>USD</x:v>
      </x:c>
      <x:c r="G158" s="17" t="n">
        <x:f>H141</x:f>
        <x:v>27245.9023</x:v>
      </x:c>
      <x:c r="H158" s="34" t="n">
        <x:v>27204.3809</x:v>
      </x:c>
      <x:c r="I158" s="34" t="n">
        <x:v>26871.5957</x:v>
      </x:c>
      <x:c r="J158" s="8" t="n">
        <x:v>46308</x:v>
      </x:c>
      <x:c r="K158" s="2" t="str">
        <x:v>Open</x:v>
      </x:c>
    </x:row>
  </x:sheetData>
  <x:mergeCells>
    <x:mergeCell ref="A2:D2"/>
    <x:mergeCell ref="A3:J3"/>
  </x:mergeCells>
  <x:pageMargins left="0.7" right="0.7" top="0.75" bottom="0.75" header="0.3" footer="0.3"/>
  <x:tableParts count="1">
    <x:tablePart xmlns:r="http://schemas.openxmlformats.org/officeDocument/2006/relationships" r:id="R0df629115b0c4f8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6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3" t="str">
        <x:v>Daily returns and contributions</x:v>
      </x:c>
      <x:c r="B2" s="2"/>
      <x:c r="C2" s="2"/>
      <x:c r="D2" s="2"/>
      <x:c r="E2" s="2"/>
      <x:c r="F2" s="2"/>
      <x:c r="G2" s="2"/>
      <x:c r="H2" s="2"/>
    </x:row>
    <x:row r="3" ht="27" customHeight="1">
      <x:c r="A3" s="4" t="str">
        <x:v>Contributions use previous effective weights. Weights reset equally at quarterly reviews.</x:v>
      </x:c>
      <x:c r="B3" s="4"/>
      <x:c r="C3" s="4"/>
      <x:c r="D3" s="4"/>
      <x:c r="E3" s="4"/>
      <x:c r="F3" s="4"/>
      <x:c r="G3" s="4"/>
      <x:c r="H3" s="4"/>
    </x:row>
    <x:row r="4" ht="27" customHeight="1">
      <x:c r="A4" s="2"/>
      <x:c r="B4" s="2"/>
      <x:c r="C4" s="2"/>
      <x:c r="D4" s="2"/>
      <x:c r="E4" s="2"/>
      <x:c r="F4" s="2"/>
      <x:c r="G4" s="2"/>
      <x:c r="H4" s="2"/>
    </x:row>
    <x:row r="5" ht="46" customHeight="1">
      <x:c r="A5" s="7" t="str">
        <x:v>Date</x:v>
      </x:c>
      <x:c r="B5" s="7" t="str">
        <x:v>Company</x:v>
      </x:c>
      <x:c r="C5" s="7" t="str">
        <x:v>Ticker</x:v>
      </x:c>
      <x:c r="D5" s="7" t="str">
        <x:v>Previous weight</x:v>
      </x:c>
      <x:c r="E5" s="7" t="str">
        <x:v>Daily price return</x:v>
      </x:c>
      <x:c r="F5" s="7" t="str">
        <x:v>Contribution</x:v>
      </x:c>
      <x:c r="G5" s="7" t="str">
        <x:v>Closing weight</x:v>
      </x:c>
      <x:c r="H5" s="7" t="str">
        <x:v>Since launch return</x:v>
      </x:c>
    </x:row>
    <x:row r="6" ht="27" customHeight="1">
      <x:c r="A6" s="8" t="n">
        <x:v>46296</x:v>
      </x:c>
      <x:c r="B6" s="2" t="str">
        <x:v>FANUC</x:v>
      </x:c>
      <x:c r="C6" s="2" t="str">
        <x:v>6954</x:v>
      </x:c>
      <x:c r="D6" s="20" t="n">
        <x:f>1/15</x:f>
        <x:v>0.06666666666666667</x:v>
      </x:c>
      <x:c r="E6" s="20"/>
      <x:c r="F6" s="20"/>
      <x:c r="G6" s="20" t="n">
        <x:f>1/15</x:f>
        <x:v>0.06666666666666667</x:v>
      </x:c>
      <x:c r="H6" s="22" t="n">
        <x:f>'Prices'!H6/'Prices'!I6-1</x:f>
        <x:v>0</x:v>
      </x:c>
    </x:row>
    <x:row r="7" ht="27" customHeight="1">
      <x:c r="A7" s="9" t="n">
        <x:v>46296</x:v>
      </x:c>
      <x:c r="B7" s="10" t="str">
        <x:v>Yaskawa Electric</x:v>
      </x:c>
      <x:c r="C7" s="10" t="str">
        <x:v>6506</x:v>
      </x:c>
      <x:c r="D7" s="21" t="n">
        <x:f>1/15</x:f>
        <x:v>0.06666666666666667</x:v>
      </x:c>
      <x:c r="E7" s="21"/>
      <x:c r="F7" s="21"/>
      <x:c r="G7" s="21" t="n">
        <x:f>1/15</x:f>
        <x:v>0.06666666666666667</x:v>
      </x:c>
      <x:c r="H7" s="23" t="n">
        <x:f>'Prices'!H7/'Prices'!I7-1</x:f>
        <x:v>0</x:v>
      </x:c>
    </x:row>
    <x:row r="8" ht="27" customHeight="1">
      <x:c r="A8" s="8" t="n">
        <x:v>46296</x:v>
      </x:c>
      <x:c r="B8" s="2" t="str">
        <x:v>Estun Automation</x:v>
      </x:c>
      <x:c r="C8" s="13" t="str">
        <x:v>002747</x:v>
      </x:c>
      <x:c r="D8" s="20" t="n">
        <x:f>1/15</x:f>
        <x:v>0.06666666666666667</x:v>
      </x:c>
      <x:c r="E8" s="20"/>
      <x:c r="F8" s="20"/>
      <x:c r="G8" s="20" t="n">
        <x:f>1/15</x:f>
        <x:v>0.06666666666666667</x:v>
      </x:c>
      <x:c r="H8" s="22" t="n">
        <x:f>'Prices'!H8/'Prices'!I8-1</x:f>
        <x:v>0</x:v>
      </x:c>
    </x:row>
    <x:row r="9" ht="27" customHeight="1">
      <x:c r="A9" s="9" t="n">
        <x:v>46296</x:v>
      </x:c>
      <x:c r="B9" s="10" t="str">
        <x:v>Teradyne</x:v>
      </x:c>
      <x:c r="C9" s="10" t="str">
        <x:v>TER</x:v>
      </x:c>
      <x:c r="D9" s="21" t="n">
        <x:f>1/15</x:f>
        <x:v>0.06666666666666667</x:v>
      </x:c>
      <x:c r="E9" s="21"/>
      <x:c r="F9" s="21"/>
      <x:c r="G9" s="21" t="n">
        <x:f>1/15</x:f>
        <x:v>0.06666666666666667</x:v>
      </x:c>
      <x:c r="H9" s="23" t="n">
        <x:f>'Prices'!H9/'Prices'!I9-1</x:f>
        <x:v>0</x:v>
      </x:c>
    </x:row>
    <x:row r="10" ht="27" customHeight="1">
      <x:c r="A10" s="8" t="n">
        <x:v>46296</x:v>
      </x:c>
      <x:c r="B10" s="2" t="str">
        <x:v>Nabtesco</x:v>
      </x:c>
      <x:c r="C10" s="2" t="str">
        <x:v>6268</x:v>
      </x:c>
      <x:c r="D10" s="20" t="n">
        <x:f>1/15</x:f>
        <x:v>0.06666666666666667</x:v>
      </x:c>
      <x:c r="E10" s="20"/>
      <x:c r="F10" s="20"/>
      <x:c r="G10" s="20" t="n">
        <x:f>1/15</x:f>
        <x:v>0.06666666666666667</x:v>
      </x:c>
      <x:c r="H10" s="22" t="n">
        <x:f>'Prices'!H10/'Prices'!I10-1</x:f>
        <x:v>0</x:v>
      </x:c>
    </x:row>
    <x:row r="11" ht="27" customHeight="1">
      <x:c r="A11" s="9" t="n">
        <x:v>46296</x:v>
      </x:c>
      <x:c r="B11" s="10" t="str">
        <x:v>Inovance</x:v>
      </x:c>
      <x:c r="C11" s="10" t="str">
        <x:v>300124</x:v>
      </x:c>
      <x:c r="D11" s="21" t="n">
        <x:f>1/15</x:f>
        <x:v>0.06666666666666667</x:v>
      </x:c>
      <x:c r="E11" s="21"/>
      <x:c r="F11" s="21"/>
      <x:c r="G11" s="21" t="n">
        <x:f>1/15</x:f>
        <x:v>0.06666666666666667</x:v>
      </x:c>
      <x:c r="H11" s="23" t="n">
        <x:f>'Prices'!H11/'Prices'!I11-1</x:f>
        <x:v>0</x:v>
      </x:c>
    </x:row>
    <x:row r="12" ht="27" customHeight="1">
      <x:c r="A12" s="8" t="n">
        <x:v>46296</x:v>
      </x:c>
      <x:c r="B12" s="2" t="str">
        <x:v>Keyence</x:v>
      </x:c>
      <x:c r="C12" s="2" t="str">
        <x:v>6861</x:v>
      </x:c>
      <x:c r="D12" s="20" t="n">
        <x:f>1/15</x:f>
        <x:v>0.06666666666666667</x:v>
      </x:c>
      <x:c r="E12" s="20"/>
      <x:c r="F12" s="20"/>
      <x:c r="G12" s="20" t="n">
        <x:f>1/15</x:f>
        <x:v>0.06666666666666667</x:v>
      </x:c>
      <x:c r="H12" s="22" t="n">
        <x:f>'Prices'!H12/'Prices'!I12-1</x:f>
        <x:v>0</x:v>
      </x:c>
    </x:row>
    <x:row r="13" ht="27" customHeight="1">
      <x:c r="A13" s="9" t="n">
        <x:v>46296</x:v>
      </x:c>
      <x:c r="B13" s="10" t="str">
        <x:v>Cognex</x:v>
      </x:c>
      <x:c r="C13" s="10" t="str">
        <x:v>CGNX</x:v>
      </x:c>
      <x:c r="D13" s="21" t="n">
        <x:f>1/15</x:f>
        <x:v>0.06666666666666667</x:v>
      </x:c>
      <x:c r="E13" s="21"/>
      <x:c r="F13" s="21"/>
      <x:c r="G13" s="21" t="n">
        <x:f>1/15</x:f>
        <x:v>0.06666666666666667</x:v>
      </x:c>
      <x:c r="H13" s="23" t="n">
        <x:f>'Prices'!H13/'Prices'!I13-1</x:f>
        <x:v>0</x:v>
      </x:c>
    </x:row>
    <x:row r="14" ht="27" customHeight="1">
      <x:c r="A14" s="8" t="n">
        <x:v>46296</x:v>
      </x:c>
      <x:c r="B14" s="2" t="str">
        <x:v>Ouster</x:v>
      </x:c>
      <x:c r="C14" s="2" t="str">
        <x:v>OUST</x:v>
      </x:c>
      <x:c r="D14" s="20" t="n">
        <x:f>1/15</x:f>
        <x:v>0.06666666666666667</x:v>
      </x:c>
      <x:c r="E14" s="20"/>
      <x:c r="F14" s="20"/>
      <x:c r="G14" s="20" t="n">
        <x:f>1/15</x:f>
        <x:v>0.06666666666666667</x:v>
      </x:c>
      <x:c r="H14" s="22" t="n">
        <x:f>'Prices'!H14/'Prices'!I14-1</x:f>
        <x:v>0</x:v>
      </x:c>
    </x:row>
    <x:row r="15" ht="27" customHeight="1">
      <x:c r="A15" s="9" t="n">
        <x:v>46296</x:v>
      </x:c>
      <x:c r="B15" s="10" t="str">
        <x:v>Hesai</x:v>
      </x:c>
      <x:c r="C15" s="10" t="str">
        <x:v>HSAI</x:v>
      </x:c>
      <x:c r="D15" s="21" t="n">
        <x:f>1/15</x:f>
        <x:v>0.06666666666666667</x:v>
      </x:c>
      <x:c r="E15" s="21"/>
      <x:c r="F15" s="21"/>
      <x:c r="G15" s="21" t="n">
        <x:f>1/15</x:f>
        <x:v>0.06666666666666667</x:v>
      </x:c>
      <x:c r="H15" s="23" t="n">
        <x:f>'Prices'!H15/'Prices'!I15-1</x:f>
        <x:v>0</x:v>
      </x:c>
    </x:row>
    <x:row r="16" ht="27" customHeight="1">
      <x:c r="A16" s="8" t="n">
        <x:v>46296</x:v>
      </x:c>
      <x:c r="B16" s="2" t="str">
        <x:v>Rockwell Automation</x:v>
      </x:c>
      <x:c r="C16" s="2" t="str">
        <x:v>ROK</x:v>
      </x:c>
      <x:c r="D16" s="20" t="n">
        <x:f>1/15</x:f>
        <x:v>0.06666666666666667</x:v>
      </x:c>
      <x:c r="E16" s="20"/>
      <x:c r="F16" s="20"/>
      <x:c r="G16" s="20" t="n">
        <x:f>1/15</x:f>
        <x:v>0.06666666666666667</x:v>
      </x:c>
      <x:c r="H16" s="22" t="n">
        <x:f>'Prices'!H16/'Prices'!I16-1</x:f>
        <x:v>0</x:v>
      </x:c>
    </x:row>
    <x:row r="17" ht="27" customHeight="1">
      <x:c r="A17" s="9" t="n">
        <x:v>46296</x:v>
      </x:c>
      <x:c r="B17" s="10" t="str">
        <x:v>Siemens</x:v>
      </x:c>
      <x:c r="C17" s="10" t="str">
        <x:v>SIE</x:v>
      </x:c>
      <x:c r="D17" s="21" t="n">
        <x:f>1/15</x:f>
        <x:v>0.06666666666666667</x:v>
      </x:c>
      <x:c r="E17" s="21"/>
      <x:c r="F17" s="21"/>
      <x:c r="G17" s="21" t="n">
        <x:f>1/15</x:f>
        <x:v>0.06666666666666667</x:v>
      </x:c>
      <x:c r="H17" s="23" t="n">
        <x:f>'Prices'!H17/'Prices'!I17-1</x:f>
        <x:v>0</x:v>
      </x:c>
    </x:row>
    <x:row r="18" ht="27" customHeight="1">
      <x:c r="A18" s="8" t="n">
        <x:v>46296</x:v>
      </x:c>
      <x:c r="B18" s="2" t="str">
        <x:v>NXP Semiconductors</x:v>
      </x:c>
      <x:c r="C18" s="2" t="str">
        <x:v>NXPI</x:v>
      </x:c>
      <x:c r="D18" s="20" t="n">
        <x:f>1/15</x:f>
        <x:v>0.06666666666666667</x:v>
      </x:c>
      <x:c r="E18" s="20"/>
      <x:c r="F18" s="20"/>
      <x:c r="G18" s="20" t="n">
        <x:f>1/15</x:f>
        <x:v>0.06666666666666667</x:v>
      </x:c>
      <x:c r="H18" s="22" t="n">
        <x:f>'Prices'!H18/'Prices'!I18-1</x:f>
        <x:v>0</x:v>
      </x:c>
    </x:row>
    <x:row r="19" ht="27" customHeight="1">
      <x:c r="A19" s="9" t="n">
        <x:v>46296</x:v>
      </x:c>
      <x:c r="B19" s="10" t="str">
        <x:v>Daifuku</x:v>
      </x:c>
      <x:c r="C19" s="10" t="str">
        <x:v>6383</x:v>
      </x:c>
      <x:c r="D19" s="21" t="n">
        <x:f>1/15</x:f>
        <x:v>0.06666666666666667</x:v>
      </x:c>
      <x:c r="E19" s="21"/>
      <x:c r="F19" s="21"/>
      <x:c r="G19" s="21" t="n">
        <x:f>1/15</x:f>
        <x:v>0.06666666666666667</x:v>
      </x:c>
      <x:c r="H19" s="23" t="n">
        <x:f>'Prices'!H19/'Prices'!I19-1</x:f>
        <x:v>0</x:v>
      </x:c>
    </x:row>
    <x:row r="20" ht="27" customHeight="1">
      <x:c r="A20" s="8" t="n">
        <x:v>46296</x:v>
      </x:c>
      <x:c r="B20" s="2" t="str">
        <x:v>Hexagon</x:v>
      </x:c>
      <x:c r="C20" s="2" t="str">
        <x:v>HEXA B</x:v>
      </x:c>
      <x:c r="D20" s="20" t="n">
        <x:f>1/15</x:f>
        <x:v>0.06666666666666667</x:v>
      </x:c>
      <x:c r="E20" s="20"/>
      <x:c r="F20" s="20"/>
      <x:c r="G20" s="20" t="n">
        <x:f>1/15</x:f>
        <x:v>0.06666666666666667</x:v>
      </x:c>
      <x:c r="H20" s="22" t="n">
        <x:f>'Prices'!H20/'Prices'!I20-1</x:f>
        <x:v>0</x:v>
      </x:c>
    </x:row>
    <x:row r="21" ht="27" customHeight="1">
      <x:c r="A21" s="9" t="n">
        <x:v>46297</x:v>
      </x:c>
      <x:c r="B21" s="10" t="str">
        <x:v>FANUC</x:v>
      </x:c>
      <x:c r="C21" s="10" t="str">
        <x:v>6954</x:v>
      </x:c>
      <x:c r="D21" s="21" t="n">
        <x:f>G6</x:f>
        <x:v>0.06666666666666667</x:v>
      </x:c>
      <x:c r="E21" s="23" t="n">
        <x:f>'Prices'!H23/'Prices'!G23-1</x:f>
        <x:v>-0.00848702464501383</x:v>
      </x:c>
      <x:c r="F21" s="21" t="n">
        <x:f>D21*E21</x:f>
        <x:v>-0.0005658016430009219</x:v>
      </x:c>
      <x:c r="G21" s="21" t="n">
        <x:f>D21*(1+E21)/(1+SUM($F$21:$F$35))</x:f>
        <x:v>0.06507089465214738</x:v>
      </x:c>
      <x:c r="H21" s="23" t="n">
        <x:f>'Prices'!H23/'Prices'!I23-1</x:f>
        <x:v>-0.00848702464501383</x:v>
      </x:c>
    </x:row>
    <x:row r="22" ht="27" customHeight="1">
      <x:c r="A22" s="8" t="n">
        <x:v>46297</x:v>
      </x:c>
      <x:c r="B22" s="2" t="str">
        <x:v>Yaskawa Electric</x:v>
      </x:c>
      <x:c r="C22" s="2" t="str">
        <x:v>6506</x:v>
      </x:c>
      <x:c r="D22" s="20" t="n">
        <x:f>G7</x:f>
        <x:v>0.06666666666666667</x:v>
      </x:c>
      <x:c r="E22" s="22" t="n">
        <x:f>'Prices'!H24/'Prices'!G24-1</x:f>
        <x:v>0.005649717514124353</x:v>
      </x:c>
      <x:c r="F22" s="20" t="n">
        <x:f>D22*E22</x:f>
        <x:v>0.00037664783427495687</x:v>
      </x:c>
      <x:c r="G22" s="20" t="n">
        <x:f>D22*(1+E22)/(1+SUM($F$21:$F$35))</x:f>
        <x:v>0.0659986590714002</x:v>
      </x:c>
      <x:c r="H22" s="22" t="n">
        <x:f>'Prices'!H24/'Prices'!I24-1</x:f>
        <x:v>0.005649717514124353</x:v>
      </x:c>
    </x:row>
    <x:row r="23" ht="27" customHeight="1">
      <x:c r="A23" s="9" t="n">
        <x:v>46297</x:v>
      </x:c>
      <x:c r="B23" s="10" t="str">
        <x:v>Estun Automation</x:v>
      </x:c>
      <x:c r="C23" s="15" t="str">
        <x:v>002747</x:v>
      </x:c>
      <x:c r="D23" s="21" t="n">
        <x:f>G8</x:f>
        <x:v>0.06666666666666667</x:v>
      </x:c>
      <x:c r="E23" s="23" t="n">
        <x:f>'Prices'!H25/'Prices'!G25-1</x:f>
        <x:v>0</x:v>
      </x:c>
      <x:c r="F23" s="21" t="n">
        <x:f>D23*E23</x:f>
        <x:v>0</x:v>
      </x:c>
      <x:c r="G23" s="21" t="n">
        <x:f>D23*(1+E23)/(1+SUM($F$21:$F$35))</x:f>
        <x:v>0.065627880087853</x:v>
      </x:c>
      <x:c r="H23" s="23" t="n">
        <x:f>'Prices'!H25/'Prices'!I25-1</x:f>
        <x:v>0</x:v>
      </x:c>
    </x:row>
    <x:row r="24" ht="27" customHeight="1">
      <x:c r="A24" s="8" t="n">
        <x:v>46297</x:v>
      </x:c>
      <x:c r="B24" s="2" t="str">
        <x:v>Teradyne</x:v>
      </x:c>
      <x:c r="C24" s="2" t="str">
        <x:v>TER</x:v>
      </x:c>
      <x:c r="D24" s="20" t="n">
        <x:f>G9</x:f>
        <x:v>0.06666666666666667</x:v>
      </x:c>
      <x:c r="E24" s="22" t="n">
        <x:f>'Prices'!H26/'Prices'!G26-1</x:f>
        <x:v>0.07996825320474277</x:v>
      </x:c>
      <x:c r="F24" s="20" t="n">
        <x:f>D24*E24</x:f>
        <x:v>0.005331216880316184</x:v>
      </x:c>
      <x:c r="G24" s="20" t="n">
        <x:f>D24*(1+E24)/(1+SUM($F$21:$F$35))</x:f>
        <x:v>0.07087602702000892</x:v>
      </x:c>
      <x:c r="H24" s="22" t="n">
        <x:f>'Prices'!H26/'Prices'!I26-1</x:f>
        <x:v>0.07996825320474277</x:v>
      </x:c>
    </x:row>
    <x:row r="25" ht="27" customHeight="1">
      <x:c r="A25" s="9" t="n">
        <x:v>46297</x:v>
      </x:c>
      <x:c r="B25" s="10" t="str">
        <x:v>Nabtesco</x:v>
      </x:c>
      <x:c r="C25" s="10" t="str">
        <x:v>6268</x:v>
      </x:c>
      <x:c r="D25" s="21" t="n">
        <x:f>G10</x:f>
        <x:v>0.06666666666666667</x:v>
      </x:c>
      <x:c r="E25" s="23" t="n">
        <x:f>'Prices'!H27/'Prices'!G27-1</x:f>
        <x:v>-0.009849246231155795</x:v>
      </x:c>
      <x:c r="F25" s="21" t="n">
        <x:f>D25*E25</x:f>
        <x:v>-0.0006566164154103863</x:v>
      </x:c>
      <x:c r="G25" s="21" t="n">
        <x:f>D25*(1+E25)/(1+SUM($F$21:$F$35))</x:f>
        <x:v>0.06498149493723897</x:v>
      </x:c>
      <x:c r="H25" s="23" t="n">
        <x:f>'Prices'!H27/'Prices'!I27-1</x:f>
        <x:v>-0.009849246231155795</x:v>
      </x:c>
    </x:row>
    <x:row r="26" ht="27" customHeight="1">
      <x:c r="A26" s="8" t="n">
        <x:v>46297</x:v>
      </x:c>
      <x:c r="B26" s="2" t="str">
        <x:v>Inovance</x:v>
      </x:c>
      <x:c r="C26" s="2" t="str">
        <x:v>300124</x:v>
      </x:c>
      <x:c r="D26" s="20" t="n">
        <x:f>G11</x:f>
        <x:v>0.06666666666666667</x:v>
      </x:c>
      <x:c r="E26" s="22" t="n">
        <x:f>'Prices'!H28/'Prices'!G28-1</x:f>
        <x:v>0</x:v>
      </x:c>
      <x:c r="F26" s="20" t="n">
        <x:f>D26*E26</x:f>
        <x:v>0</x:v>
      </x:c>
      <x:c r="G26" s="20" t="n">
        <x:f>D26*(1+E26)/(1+SUM($F$21:$F$35))</x:f>
        <x:v>0.065627880087853</x:v>
      </x:c>
      <x:c r="H26" s="22" t="n">
        <x:f>'Prices'!H28/'Prices'!I28-1</x:f>
        <x:v>0</x:v>
      </x:c>
    </x:row>
    <x:row r="27" ht="27" customHeight="1">
      <x:c r="A27" s="9" t="n">
        <x:v>46297</x:v>
      </x:c>
      <x:c r="B27" s="10" t="str">
        <x:v>Keyence</x:v>
      </x:c>
      <x:c r="C27" s="10" t="str">
        <x:v>6861</x:v>
      </x:c>
      <x:c r="D27" s="21" t="n">
        <x:f>G12</x:f>
        <x:v>0.06666666666666667</x:v>
      </x:c>
      <x:c r="E27" s="23" t="n">
        <x:f>'Prices'!H29/'Prices'!G29-1</x:f>
        <x:v>-0.011453201970443305</x:v>
      </x:c>
      <x:c r="F27" s="21" t="n">
        <x:f>D27*E27</x:f>
        <x:v>-0.0007635467980295537</x:v>
      </x:c>
      <x:c r="G27" s="21" t="n">
        <x:f>D27*(1+E27)/(1+SUM($F$21:$F$35))</x:f>
        <x:v>0.0648762307223148</x:v>
      </x:c>
      <x:c r="H27" s="23" t="n">
        <x:f>'Prices'!H29/'Prices'!I29-1</x:f>
        <x:v>-0.011453201970443305</x:v>
      </x:c>
    </x:row>
    <x:row r="28" ht="27" customHeight="1">
      <x:c r="A28" s="8" t="n">
        <x:v>46297</x:v>
      </x:c>
      <x:c r="B28" s="2" t="str">
        <x:v>Cognex</x:v>
      </x:c>
      <x:c r="C28" s="2" t="str">
        <x:v>CGNX</x:v>
      </x:c>
      <x:c r="D28" s="20" t="n">
        <x:f>G13</x:f>
        <x:v>0.06666666666666667</x:v>
      </x:c>
      <x:c r="E28" s="22" t="n">
        <x:f>'Prices'!H30/'Prices'!G30-1</x:f>
        <x:v>0.0441980070716812</x:v>
      </x:c>
      <x:c r="F28" s="20" t="n">
        <x:f>D28*E28</x:f>
        <x:v>0.0029465338047787466</x:v>
      </x:c>
      <x:c r="G28" s="20" t="n">
        <x:f>D28*(1+E28)/(1+SUM($F$21:$F$35))</x:f>
        <x:v>0.06852850159607538</x:v>
      </x:c>
      <x:c r="H28" s="22" t="n">
        <x:f>'Prices'!H30/'Prices'!I30-1</x:f>
        <x:v>0.0441980070716812</x:v>
      </x:c>
    </x:row>
    <x:row r="29" ht="27" customHeight="1">
      <x:c r="A29" s="9" t="n">
        <x:v>46297</x:v>
      </x:c>
      <x:c r="B29" s="10" t="str">
        <x:v>Ouster</x:v>
      </x:c>
      <x:c r="C29" s="10" t="str">
        <x:v>OUST</x:v>
      </x:c>
      <x:c r="D29" s="21" t="n">
        <x:f>G14</x:f>
        <x:v>0.06666666666666667</x:v>
      </x:c>
      <x:c r="E29" s="23" t="n">
        <x:f>'Prices'!H31/'Prices'!G31-1</x:f>
        <x:v>0.08612674333251791</x:v>
      </x:c>
      <x:c r="F29" s="21" t="n">
        <x:f>D29*E29</x:f>
        <x:v>0.005741782888834527</x:v>
      </x:c>
      <x:c r="G29" s="21" t="n">
        <x:f>D29*(1+E29)/(1+SUM($F$21:$F$35))</x:f>
        <x:v>0.07128019567163678</x:v>
      </x:c>
      <x:c r="H29" s="23" t="n">
        <x:f>'Prices'!H31/'Prices'!I31-1</x:f>
        <x:v>0.08612674333251791</x:v>
      </x:c>
    </x:row>
    <x:row r="30" ht="27" customHeight="1">
      <x:c r="A30" s="8" t="n">
        <x:v>46297</x:v>
      </x:c>
      <x:c r="B30" s="2" t="str">
        <x:v>Hesai</x:v>
      </x:c>
      <x:c r="C30" s="2" t="str">
        <x:v>HSAI</x:v>
      </x:c>
      <x:c r="D30" s="20" t="n">
        <x:f>G15</x:f>
        <x:v>0.06666666666666667</x:v>
      </x:c>
      <x:c r="E30" s="22" t="n">
        <x:f>'Prices'!H32/'Prices'!G32-1</x:f>
        <x:v>-0.034526051475203934</x:v>
      </x:c>
      <x:c r="F30" s="20" t="n">
        <x:f>D30*E30</x:f>
        <x:v>-0.0023017367650135954</x:v>
      </x:c>
      <x:c r="G30" s="20" t="n">
        <x:f>D30*(1+E30)/(1+SUM($F$21:$F$35))</x:f>
        <x:v>0.06336200852173128</x:v>
      </x:c>
      <x:c r="H30" s="22" t="n">
        <x:f>'Prices'!H32/'Prices'!I32-1</x:f>
        <x:v>-0.034526051475203934</x:v>
      </x:c>
    </x:row>
    <x:row r="31" ht="27" customHeight="1">
      <x:c r="A31" s="9" t="n">
        <x:v>46297</x:v>
      </x:c>
      <x:c r="B31" s="10" t="str">
        <x:v>Rockwell Automation</x:v>
      </x:c>
      <x:c r="C31" s="10" t="str">
        <x:v>ROK</x:v>
      </x:c>
      <x:c r="D31" s="21" t="n">
        <x:f>G16</x:f>
        <x:v>0.06666666666666667</x:v>
      </x:c>
      <x:c r="E31" s="23" t="n">
        <x:f>'Prices'!H33/'Prices'!G33-1</x:f>
        <x:v>0.026895694428749062</x:v>
      </x:c>
      <x:c r="F31" s="21" t="n">
        <x:f>D31*E31</x:f>
        <x:v>0.0017930462952499375</x:v>
      </x:c>
      <x:c r="G31" s="21" t="n">
        <x:f>D31*(1+E31)/(1+SUM($F$21:$F$35))</x:f>
        <x:v>0.06739298749670249</x:v>
      </x:c>
      <x:c r="H31" s="23" t="n">
        <x:f>'Prices'!H33/'Prices'!I33-1</x:f>
        <x:v>0.026895694428749062</x:v>
      </x:c>
    </x:row>
    <x:row r="32" ht="27" customHeight="1">
      <x:c r="A32" s="8" t="n">
        <x:v>46297</x:v>
      </x:c>
      <x:c r="B32" s="2" t="str">
        <x:v>Siemens</x:v>
      </x:c>
      <x:c r="C32" s="2" t="str">
        <x:v>SIE</x:v>
      </x:c>
      <x:c r="D32" s="20" t="n">
        <x:f>G17</x:f>
        <x:v>0.06666666666666667</x:v>
      </x:c>
      <x:c r="E32" s="22" t="n">
        <x:f>'Prices'!H34/'Prices'!G34-1</x:f>
        <x:v>0.015446855461566988</x:v>
      </x:c>
      <x:c r="F32" s="20" t="n">
        <x:f>D32*E32</x:f>
        <x:v>0.0010297903641044658</x:v>
      </x:c>
      <x:c r="G32" s="20" t="n">
        <x:f>D32*(1+E32)/(1+SUM($F$21:$F$35))</x:f>
        <x:v>0.06664162446581913</x:v>
      </x:c>
      <x:c r="H32" s="22" t="n">
        <x:f>'Prices'!H34/'Prices'!I34-1</x:f>
        <x:v>0.015446855461566988</x:v>
      </x:c>
    </x:row>
    <x:row r="33" ht="27" customHeight="1">
      <x:c r="A33" s="9" t="n">
        <x:v>46297</x:v>
      </x:c>
      <x:c r="B33" s="10" t="str">
        <x:v>NXP Semiconductors</x:v>
      </x:c>
      <x:c r="C33" s="10" t="str">
        <x:v>NXPI</x:v>
      </x:c>
      <x:c r="D33" s="21" t="n">
        <x:f>G18</x:f>
        <x:v>0.06666666666666667</x:v>
      </x:c>
      <x:c r="E33" s="23" t="n">
        <x:f>'Prices'!H35/'Prices'!G35-1</x:f>
        <x:v>0.018688072243822962</x:v>
      </x:c>
      <x:c r="F33" s="21" t="n">
        <x:f>D33*E33</x:f>
        <x:v>0.0012458714829215308</x:v>
      </x:c>
      <x:c r="G33" s="21" t="n">
        <x:f>D33*(1+E33)/(1+SUM($F$21:$F$35))</x:f>
        <x:v>0.06685433865214375</x:v>
      </x:c>
      <x:c r="H33" s="23" t="n">
        <x:f>'Prices'!H35/'Prices'!I35-1</x:f>
        <x:v>0.018688072243822962</x:v>
      </x:c>
    </x:row>
    <x:row r="34" ht="27" customHeight="1">
      <x:c r="A34" s="8" t="n">
        <x:v>46297</x:v>
      </x:c>
      <x:c r="B34" s="2" t="str">
        <x:v>Daifuku</x:v>
      </x:c>
      <x:c r="C34" s="2" t="str">
        <x:v>6383</x:v>
      </x:c>
      <x:c r="D34" s="20" t="n">
        <x:f>G19</x:f>
        <x:v>0.06666666666666667</x:v>
      </x:c>
      <x:c r="E34" s="22" t="n">
        <x:f>'Prices'!H36/'Prices'!G36-1</x:f>
        <x:v>0.003257887517146729</x:v>
      </x:c>
      <x:c r="F34" s="20" t="n">
        <x:f>D34*E34</x:f>
        <x:v>0.00021719250114311526</x:v>
      </x:c>
      <x:c r="G34" s="20" t="n">
        <x:f>D34*(1+E34)/(1+SUM($F$21:$F$35))</x:f>
        <x:v>0.06584168833916802</x:v>
      </x:c>
      <x:c r="H34" s="22" t="n">
        <x:f>'Prices'!H36/'Prices'!I36-1</x:f>
        <x:v>0.003257887517146729</x:v>
      </x:c>
    </x:row>
    <x:row r="35" ht="27" customHeight="1">
      <x:c r="A35" s="9" t="n">
        <x:v>46297</x:v>
      </x:c>
      <x:c r="B35" s="10" t="str">
        <x:v>Hexagon</x:v>
      </x:c>
      <x:c r="C35" s="10" t="str">
        <x:v>HEXA B</x:v>
      </x:c>
      <x:c r="D35" s="21" t="n">
        <x:f>G20</x:f>
        <x:v>0.06666666666666667</x:v>
      </x:c>
      <x:c r="E35" s="23" t="n">
        <x:f>'Prices'!H37/'Prices'!G37-1</x:f>
        <x:v>0.021510805897798413</x:v>
      </x:c>
      <x:c r="F35" s="21" t="n">
        <x:f>D35*E35</x:f>
        <x:v>0.0014340537265198942</x:v>
      </x:c>
      <x:c r="G35" s="21" t="n">
        <x:f>D35*(1+E35)/(1+SUM($F$21:$F$35))</x:f>
        <x:v>0.0670395886779068</x:v>
      </x:c>
      <x:c r="H35" s="23" t="n">
        <x:f>'Prices'!H37/'Prices'!I37-1</x:f>
        <x:v>0.021510805897798413</x:v>
      </x:c>
    </x:row>
    <x:row r="36" ht="27" customHeight="1">
      <x:c r="A36" s="8" t="n">
        <x:v>46300</x:v>
      </x:c>
      <x:c r="B36" s="2" t="str">
        <x:v>FANUC</x:v>
      </x:c>
      <x:c r="C36" s="2" t="str">
        <x:v>6954</x:v>
      </x:c>
      <x:c r="D36" s="20" t="n">
        <x:f>G21</x:f>
        <x:v>0.06507089465214738</x:v>
      </x:c>
      <x:c r="E36" s="22" t="n">
        <x:f>'Prices'!H40/'Prices'!G40-1</x:f>
        <x:v>0.018271604938271624</x:v>
      </x:c>
      <x:c r="F36" s="20" t="n">
        <x:f>D36*E36</x:f>
        <x:v>0.0011889496800639287</x:v>
      </x:c>
      <x:c r="G36" s="20" t="n">
        <x:f>D36*(1+E36)/(1+SUM($F$36:$F$50))</x:f>
        <x:v>0.06589970397636324</x:v>
      </x:c>
      <x:c r="H36" s="22" t="n">
        <x:f>'Prices'!H40/'Prices'!I40-1</x:f>
        <x:v>0.009629508731842762</x:v>
      </x:c>
    </x:row>
    <x:row r="37" ht="27" customHeight="1">
      <x:c r="A37" s="9" t="n">
        <x:v>46300</x:v>
      </x:c>
      <x:c r="B37" s="10" t="str">
        <x:v>Yaskawa Electric</x:v>
      </x:c>
      <x:c r="C37" s="10" t="str">
        <x:v>6506</x:v>
      </x:c>
      <x:c r="D37" s="21" t="n">
        <x:f>G22</x:f>
        <x:v>0.0659986590714002</x:v>
      </x:c>
      <x:c r="E37" s="23" t="n">
        <x:f>'Prices'!H41/'Prices'!G41-1</x:f>
        <x:v>0.02600915522263847</x:v>
      </x:c>
      <x:c r="F37" s="21" t="n">
        <x:f>D37*E37</x:f>
        <x:v>0.0017165693682740445</x:v>
      </x:c>
      <x:c r="G37" s="21" t="n">
        <x:f>D37*(1+E37)/(1+SUM($F$36:$F$50))</x:f>
        <x:v>0.06734717767359749</x:v>
      </x:c>
      <x:c r="H37" s="23" t="n">
        <x:f>'Prices'!H41/'Prices'!I41-1</x:f>
        <x:v>0.031805817116551616</x:v>
      </x:c>
    </x:row>
    <x:row r="38" ht="27" customHeight="1">
      <x:c r="A38" s="8" t="n">
        <x:v>46300</x:v>
      </x:c>
      <x:c r="B38" s="2" t="str">
        <x:v>Estun Automation</x:v>
      </x:c>
      <x:c r="C38" s="13" t="str">
        <x:v>002747</x:v>
      </x:c>
      <x:c r="D38" s="20" t="n">
        <x:f>G23</x:f>
        <x:v>0.065627880087853</x:v>
      </x:c>
      <x:c r="E38" s="22" t="n">
        <x:f>'Prices'!H42/'Prices'!G42-1</x:f>
        <x:v>0</x:v>
      </x:c>
      <x:c r="F38" s="20" t="n">
        <x:f>D38*E38</x:f>
        <x:v>0</x:v>
      </x:c>
      <x:c r="G38" s="20" t="n">
        <x:f>D38*(1+E38)/(1+SUM($F$36:$F$50))</x:f>
        <x:v>0.06527117463032292</x:v>
      </x:c>
      <x:c r="H38" s="22" t="n">
        <x:f>'Prices'!H42/'Prices'!I42-1</x:f>
        <x:v>0</x:v>
      </x:c>
    </x:row>
    <x:row r="39" ht="27" customHeight="1">
      <x:c r="A39" s="9" t="n">
        <x:v>46300</x:v>
      </x:c>
      <x:c r="B39" s="10" t="str">
        <x:v>Teradyne</x:v>
      </x:c>
      <x:c r="C39" s="10" t="str">
        <x:v>TER</x:v>
      </x:c>
      <x:c r="D39" s="21" t="n">
        <x:f>G24</x:f>
        <x:v>0.07087602702000892</x:v>
      </x:c>
      <x:c r="E39" s="23" t="n">
        <x:f>'Prices'!H43/'Prices'!G43-1</x:f>
        <x:v>-0.010043648672724115</x:v>
      </x:c>
      <x:c r="F39" s="21" t="n">
        <x:f>D39*E39</x:f>
        <x:v>-0.000711853914707471</x:v>
      </x:c>
      <x:c r="G39" s="21" t="n">
        <x:f>D39*(1+E39)/(1+SUM($F$36:$F$50))</x:f>
        <x:v>0.06978281165592592</x:v>
      </x:c>
      <x:c r="H39" s="23" t="n">
        <x:f>'Prices'!H43/'Prices'!I43-1</x:f>
        <x:v>0.06912143149185868</x:v>
      </x:c>
    </x:row>
    <x:row r="40" ht="27" customHeight="1">
      <x:c r="A40" s="8" t="n">
        <x:v>46300</x:v>
      </x:c>
      <x:c r="B40" s="2" t="str">
        <x:v>Nabtesco</x:v>
      </x:c>
      <x:c r="C40" s="2" t="str">
        <x:v>6268</x:v>
      </x:c>
      <x:c r="D40" s="20" t="n">
        <x:f>G25</x:f>
        <x:v>0.06498149493723897</x:v>
      </x:c>
      <x:c r="E40" s="22" t="n">
        <x:f>'Prices'!H44/'Prices'!G44-1</x:f>
        <x:v>0.010759236703207442</x:v>
      </x:c>
      <x:c r="F40" s="20" t="n">
        <x:f>D40*E40</x:f>
        <x:v>0.00069915128535803</x:v>
      </x:c>
      <x:c r="G40" s="20" t="n">
        <x:f>D40*(1+E40)/(1+SUM($F$36:$F$50))</x:f>
        <x:v>0.0653236539667091</x:v>
      </x:c>
      <x:c r="H40" s="22" t="n">
        <x:f>'Prices'!H44/'Prices'!I44-1</x:f>
        <x:v>0.0008040201005026226</x:v>
      </x:c>
    </x:row>
    <x:row r="41" ht="27" customHeight="1">
      <x:c r="A41" s="9" t="n">
        <x:v>46300</x:v>
      </x:c>
      <x:c r="B41" s="10" t="str">
        <x:v>Inovance</x:v>
      </x:c>
      <x:c r="C41" s="10" t="str">
        <x:v>300124</x:v>
      </x:c>
      <x:c r="D41" s="21" t="n">
        <x:f>G26</x:f>
        <x:v>0.065627880087853</x:v>
      </x:c>
      <x:c r="E41" s="23" t="n">
        <x:f>'Prices'!H45/'Prices'!G45-1</x:f>
        <x:v>0</x:v>
      </x:c>
      <x:c r="F41" s="21" t="n">
        <x:f>D41*E41</x:f>
        <x:v>0</x:v>
      </x:c>
      <x:c r="G41" s="21" t="n">
        <x:f>D41*(1+E41)/(1+SUM($F$36:$F$50))</x:f>
        <x:v>0.06527117463032292</x:v>
      </x:c>
      <x:c r="H41" s="23" t="n">
        <x:f>'Prices'!H45/'Prices'!I45-1</x:f>
        <x:v>0</x:v>
      </x:c>
    </x:row>
    <x:row r="42" ht="27" customHeight="1">
      <x:c r="A42" s="8" t="n">
        <x:v>46300</x:v>
      </x:c>
      <x:c r="B42" s="2" t="str">
        <x:v>Keyence</x:v>
      </x:c>
      <x:c r="C42" s="2" t="str">
        <x:v>6861</x:v>
      </x:c>
      <x:c r="D42" s="20" t="n">
        <x:f>G27</x:f>
        <x:v>0.0648762307223148</x:v>
      </x:c>
      <x:c r="E42" s="22" t="n">
        <x:f>'Prices'!H46/'Prices'!G46-1</x:f>
        <x:v>0.0175657157094804</x:v>
      </x:c>
      <x:c r="F42" s="20" t="n">
        <x:f>D42*E42</x:f>
        <x:v>0.00113959742517084</x:v>
      </x:c>
      <x:c r="G42" s="20" t="n">
        <x:f>D42*(1+E42)/(1+SUM($F$36:$F$50))</x:f>
        <x:v>0.06565701408626572</x:v>
      </x:c>
      <x:c r="H42" s="22" t="n">
        <x:f>'Prices'!H46/'Prices'!I46-1</x:f>
        <x:v>0.005911330049261032</x:v>
      </x:c>
    </x:row>
    <x:row r="43" ht="27" customHeight="1">
      <x:c r="A43" s="9" t="n">
        <x:v>46300</x:v>
      </x:c>
      <x:c r="B43" s="10" t="str">
        <x:v>Cognex</x:v>
      </x:c>
      <x:c r="C43" s="10" t="str">
        <x:v>CGNX</x:v>
      </x:c>
      <x:c r="D43" s="21" t="n">
        <x:f>G28</x:f>
        <x:v>0.06852850159607538</x:v>
      </x:c>
      <x:c r="E43" s="23" t="n">
        <x:f>'Prices'!H47/'Prices'!G47-1</x:f>
        <x:v>-0.009235031553024409</x:v>
      </x:c>
      <x:c r="F43" s="21" t="n">
        <x:f>D43*E43</x:f>
        <x:v>-0.0006328628745212396</x:v>
      </x:c>
      <x:c r="G43" s="21" t="n">
        <x:f>D43*(1+E43)/(1+SUM($F$36:$F$50))</x:f>
        <x:v>0.06752660737630804</x:v>
      </x:c>
      <x:c r="H43" s="23" t="n">
        <x:f>'Prices'!H47/'Prices'!I47-1</x:f>
        <x:v>0.034554805528768995</x:v>
      </x:c>
    </x:row>
    <x:row r="44" ht="27" customHeight="1">
      <x:c r="A44" s="8" t="n">
        <x:v>46300</x:v>
      </x:c>
      <x:c r="B44" s="2" t="str">
        <x:v>Ouster</x:v>
      </x:c>
      <x:c r="C44" s="2" t="str">
        <x:v>OUST</x:v>
      </x:c>
      <x:c r="D44" s="20" t="n">
        <x:f>G29</x:f>
        <x:v>0.07128019567163678</x:v>
      </x:c>
      <x:c r="E44" s="22" t="n">
        <x:f>'Prices'!H48/'Prices'!G48-1</x:f>
        <x:v>-0.006082451002478062</x:v>
      </x:c>
      <x:c r="F44" s="20" t="n">
        <x:f>D44*E44</x:f>
        <x:v>-0.00043355829761977953</x:v>
      </x:c>
      <x:c r="G44" s="20" t="n">
        <x:f>D44*(1+E44)/(1+SUM($F$36:$F$50))</x:f>
        <x:v>0.07046156654489473</x:v>
      </x:c>
      <x:c r="H44" s="22" t="n">
        <x:f>'Prices'!H48/'Prices'!I48-1</x:f>
        <x:v>0.07952043063371672</x:v>
      </x:c>
    </x:row>
    <x:row r="45" ht="27" customHeight="1">
      <x:c r="A45" s="9" t="n">
        <x:v>46300</x:v>
      </x:c>
      <x:c r="B45" s="10" t="str">
        <x:v>Hesai</x:v>
      </x:c>
      <x:c r="C45" s="10" t="str">
        <x:v>HSAI</x:v>
      </x:c>
      <x:c r="D45" s="21" t="n">
        <x:f>G30</x:f>
        <x:v>0.06336200852173128</x:v>
      </x:c>
      <x:c r="E45" s="23" t="n">
        <x:f>'Prices'!H49/'Prices'!G49-1</x:f>
        <x:v>0.03446033810143034</x:v>
      </x:c>
      <x:c r="F45" s="21" t="n">
        <x:f>D45*E45</x:f>
        <x:v>0.0021834762364445707</x:v>
      </x:c>
      <x:c r="G45" s="21" t="n">
        <x:f>D45*(1+E45)/(1+SUM($F$36:$F$50))</x:f>
        <x:v>0.06518922714177261</x:v>
      </x:c>
      <x:c r="H45" s="23" t="n">
        <x:f>'Prices'!H49/'Prices'!I49-1</x:f>
        <x:v>-0.0012554927809165228</x:v>
      </x:c>
    </x:row>
    <x:row r="46" ht="27" customHeight="1">
      <x:c r="A46" s="8" t="n">
        <x:v>46300</x:v>
      </x:c>
      <x:c r="B46" s="2" t="str">
        <x:v>Rockwell Automation</x:v>
      </x:c>
      <x:c r="C46" s="2" t="str">
        <x:v>ROK</x:v>
      </x:c>
      <x:c r="D46" s="20" t="n">
        <x:f>G31</x:f>
        <x:v>0.06739298749670249</x:v>
      </x:c>
      <x:c r="E46" s="22" t="n">
        <x:f>'Prices'!H50/'Prices'!G50-1</x:f>
        <x:v>0.001826785517772711</x:v>
      </x:c>
      <x:c r="F46" s="20" t="n">
        <x:f>D46*E46</x:f>
        <x:v>0.0001231125335584135</x:v>
      </x:c>
      <x:c r="G46" s="20" t="n">
        <x:f>D46*(1+E46)/(1+SUM($F$36:$F$50))</x:f>
        <x:v>0.06714913158149032</x:v>
      </x:c>
      <x:c r="H46" s="22" t="n">
        <x:f>'Prices'!H50/'Prices'!I50-1</x:f>
        <x:v>0.028771612611594666</x:v>
      </x:c>
    </x:row>
    <x:row r="47" ht="27" customHeight="1">
      <x:c r="A47" s="9" t="n">
        <x:v>46300</x:v>
      </x:c>
      <x:c r="B47" s="10" t="str">
        <x:v>Siemens</x:v>
      </x:c>
      <x:c r="C47" s="10" t="str">
        <x:v>SIE</x:v>
      </x:c>
      <x:c r="D47" s="21" t="n">
        <x:f>G32</x:f>
        <x:v>0.06664162446581913</x:v>
      </x:c>
      <x:c r="E47" s="23" t="n">
        <x:f>'Prices'!H51/'Prices'!G51-1</x:f>
        <x:v>-0.003984063745020028</x:v>
      </x:c>
      <x:c r="F47" s="21" t="n">
        <x:f>D47*E47</x:f>
        <x:v>-0.0002655044799435097</x:v>
      </x:c>
      <x:c r="G47" s="21" t="n">
        <x:f>D47*(1+E47)/(1+SUM($F$36:$F$50))</x:f>
        <x:v>0.06601534764008388</x:v>
      </x:c>
      <x:c r="H47" s="23" t="n">
        <x:f>'Prices'!H51/'Prices'!I51-1</x:f>
        <x:v>0.01140125045972784</x:v>
      </x:c>
    </x:row>
    <x:row r="48" ht="27" customHeight="1">
      <x:c r="A48" s="8" t="n">
        <x:v>46300</x:v>
      </x:c>
      <x:c r="B48" s="2" t="str">
        <x:v>NXP Semiconductors</x:v>
      </x:c>
      <x:c r="C48" s="2" t="str">
        <x:v>NXPI</x:v>
      </x:c>
      <x:c r="D48" s="20" t="n">
        <x:f>G33</x:f>
        <x:v>0.06685433865214375</x:v>
      </x:c>
      <x:c r="E48" s="22" t="n">
        <x:f>'Prices'!H52/'Prices'!G52-1</x:f>
        <x:v>-0.006935894278913279</x:v>
      </x:c>
      <x:c r="F48" s="20" t="n">
        <x:f>D48*E48</x:f>
        <x:v>-0.0004636946249779348</x:v>
      </x:c>
      <x:c r="G48" s="20" t="n">
        <x:f>D48*(1+E48)/(1+SUM($F$36:$F$50))</x:f>
        <x:v>0.06602979273924177</x:v>
      </x:c>
      <x:c r="H48" s="22" t="n">
        <x:f>'Prices'!H52/'Prices'!I52-1</x:f>
        <x:v>0.011622559471549776</x:v>
      </x:c>
    </x:row>
    <x:row r="49" ht="27" customHeight="1">
      <x:c r="A49" s="9" t="n">
        <x:v>46300</x:v>
      </x:c>
      <x:c r="B49" s="10" t="str">
        <x:v>Daifuku</x:v>
      </x:c>
      <x:c r="C49" s="10" t="str">
        <x:v>6383</x:v>
      </x:c>
      <x:c r="D49" s="21" t="n">
        <x:f>G34</x:f>
        <x:v>0.06584168833916802</x:v>
      </x:c>
      <x:c r="E49" s="23" t="n">
        <x:f>'Prices'!H53/'Prices'!G53-1</x:f>
        <x:v>0.0039309519740216015</x:v>
      </x:c>
      <x:c r="F49" s="21" t="n">
        <x:f>D49*E49</x:f>
        <x:v>0.0002588205147497676</x:v>
      </x:c>
      <x:c r="G49" s="21" t="n">
        <x:f>D49*(1+E49)/(1+SUM($F$36:$F$50))</x:f>
        <x:v>0.065741234529924</x:v>
      </x:c>
      <x:c r="H49" s="23" t="n">
        <x:f>'Prices'!H53/'Prices'!I53-1</x:f>
        <x:v>0.007201646090535085</x:v>
      </x:c>
    </x:row>
    <x:row r="50" ht="27" customHeight="1">
      <x:c r="A50" s="8" t="n">
        <x:v>46300</x:v>
      </x:c>
      <x:c r="B50" s="2" t="str">
        <x:v>Hexagon</x:v>
      </x:c>
      <x:c r="C50" s="2" t="str">
        <x:v>HEXA B</x:v>
      </x:c>
      <x:c r="D50" s="20" t="n">
        <x:f>G35</x:f>
        <x:v>0.0670395886779068</x:v>
      </x:c>
      <x:c r="E50" s="22" t="n">
        <x:f>'Prices'!H54/'Prices'!G54-1</x:f>
        <x:v>0.009886307464162192</x:v>
      </x:c>
      <x:c r="F50" s="20" t="n">
        <x:f>D50*E50</x:f>
        <x:v>0.0006627739859407532</x:v>
      </x:c>
      <x:c r="G50" s="20" t="n">
        <x:f>D50*(1+E50)/(1+SUM($F$36:$F$50))</x:f>
        <x:v>0.06733438182677728</x:v>
      </x:c>
      <x:c r="H50" s="22" t="n">
        <x:f>'Prices'!H54/'Prices'!I54-1</x:f>
        <x:v>0.03160977580286817</x:v>
      </x:c>
    </x:row>
    <x:row r="51" ht="27" customHeight="1">
      <x:c r="A51" s="9" t="n">
        <x:v>46301</x:v>
      </x:c>
      <x:c r="B51" s="10" t="str">
        <x:v>FANUC</x:v>
      </x:c>
      <x:c r="C51" s="10" t="str">
        <x:v>6954</x:v>
      </x:c>
      <x:c r="D51" s="21" t="n">
        <x:f>G36</x:f>
        <x:v>0.06589970397636324</x:v>
      </x:c>
      <x:c r="E51" s="23" t="n">
        <x:f>'Prices'!H57/'Prices'!G57-1</x:f>
        <x:v>0.005496281926931745</x:v>
      </x:c>
      <x:c r="F51" s="21" t="n">
        <x:f>D51*E51</x:f>
        <x:v>0.00036220335195543736</x:v>
      </x:c>
      <x:c r="G51" s="21" t="n">
        <x:f>D51*(1+E51)/(1+SUM($F$51:$F$65))</x:f>
        <x:v>0.06592795363283505</x:v>
      </x:c>
      <x:c r="H51" s="23" t="n">
        <x:f>'Prices'!H57/'Prices'!I57-1</x:f>
        <x:v>0.015178717153582433</x:v>
      </x:c>
    </x:row>
    <x:row r="52" ht="27" customHeight="1">
      <x:c r="A52" s="8" t="n">
        <x:v>46301</x:v>
      </x:c>
      <x:c r="B52" s="2" t="str">
        <x:v>Yaskawa Electric</x:v>
      </x:c>
      <x:c r="C52" s="2" t="str">
        <x:v>6506</x:v>
      </x:c>
      <x:c r="D52" s="20" t="n">
        <x:f>G37</x:f>
        <x:v>0.06734717767359749</x:v>
      </x:c>
      <x:c r="E52" s="22" t="n">
        <x:f>'Prices'!H58/'Prices'!G58-1</x:f>
        <x:v>0.0010139931048469553</x:v>
      </x:c>
      <x:c r="F52" s="20" t="n">
        <x:f>D52*E52</x:f>
        <x:v>0.00006828957379193066</x:v>
      </x:c>
      <x:c r="G52" s="20" t="n">
        <x:f>D52*(1+E52)/(1+SUM($F$51:$F$65))</x:f>
        <x:v>0.06707569971989477</x:v>
      </x:c>
      <x:c r="H52" s="22" t="n">
        <x:f>'Prices'!H58/'Prices'!I58-1</x:f>
        <x:v>0.032852061100648644</x:v>
      </x:c>
    </x:row>
    <x:row r="53" ht="27" customHeight="1">
      <x:c r="A53" s="9" t="n">
        <x:v>46301</x:v>
      </x:c>
      <x:c r="B53" s="10" t="str">
        <x:v>Estun Automation</x:v>
      </x:c>
      <x:c r="C53" s="15" t="str">
        <x:v>002747</x:v>
      </x:c>
      <x:c r="D53" s="21" t="n">
        <x:f>G38</x:f>
        <x:v>0.06527117463032292</x:v>
      </x:c>
      <x:c r="E53" s="23" t="n">
        <x:f>'Prices'!H59/'Prices'!G59-1</x:f>
        <x:v>0</x:v>
      </x:c>
      <x:c r="F53" s="21" t="n">
        <x:f>D53*E53</x:f>
        <x:v>0</x:v>
      </x:c>
      <x:c r="G53" s="21" t="n">
        <x:f>D53*(1+E53)/(1+SUM($F$51:$F$65))</x:f>
        <x:v>0.06494221413318012</x:v>
      </x:c>
      <x:c r="H53" s="23" t="n">
        <x:f>'Prices'!H59/'Prices'!I59-1</x:f>
        <x:v>0</x:v>
      </x:c>
    </x:row>
    <x:row r="54" ht="27" customHeight="1">
      <x:c r="A54" s="8" t="n">
        <x:v>46301</x:v>
      </x:c>
      <x:c r="B54" s="2" t="str">
        <x:v>Teradyne</x:v>
      </x:c>
      <x:c r="C54" s="2" t="str">
        <x:v>TER</x:v>
      </x:c>
      <x:c r="D54" s="20" t="n">
        <x:f>G39</x:f>
        <x:v>0.06978281165592592</x:v>
      </x:c>
      <x:c r="E54" s="22" t="n">
        <x:f>'Prices'!H60/'Prices'!G60-1</x:f>
        <x:v>-0.031966346478302876</x:v>
      </x:c>
      <x:c r="F54" s="20" t="n">
        <x:f>D54*E54</x:f>
        <x:v>-0.0022307015356234808</x:v>
      </x:c>
      <x:c r="G54" s="20" t="n">
        <x:f>D54*(1+E54)/(1+SUM($F$51:$F$65))</x:f>
        <x:v>0.06721165392575594</x:v>
      </x:c>
      <x:c r="H54" s="22" t="n">
        <x:f>'Prices'!H60/'Prices'!I60-1</x:f>
        <x:v>0.034945525385410736</x:v>
      </x:c>
    </x:row>
    <x:row r="55" ht="27" customHeight="1">
      <x:c r="A55" s="9" t="n">
        <x:v>46301</x:v>
      </x:c>
      <x:c r="B55" s="10" t="str">
        <x:v>Nabtesco</x:v>
      </x:c>
      <x:c r="C55" s="10" t="str">
        <x:v>6268</x:v>
      </x:c>
      <x:c r="D55" s="21" t="n">
        <x:f>G40</x:f>
        <x:v>0.0653236539667091</x:v>
      </x:c>
      <x:c r="E55" s="23" t="n">
        <x:f>'Prices'!H61/'Prices'!G61-1</x:f>
        <x:v>0.0016067483430408647</x:v>
      </x:c>
      <x:c r="F55" s="21" t="n">
        <x:f>D55*E55</x:f>
        <x:v>0.00010495867277238464</x:v>
      </x:c>
      <x:c r="G55" s="21" t="n">
        <x:f>D55*(1+E55)/(1+SUM($F$51:$F$65))</x:f>
        <x:v>0.06509885866978275</x:v>
      </x:c>
      <x:c r="H55" s="23" t="n">
        <x:f>'Prices'!H61/'Prices'!I61-1</x:f>
        <x:v>0.002412060301507646</x:v>
      </x:c>
    </x:row>
    <x:row r="56" ht="27" customHeight="1">
      <x:c r="A56" s="8" t="n">
        <x:v>46301</x:v>
      </x:c>
      <x:c r="B56" s="2" t="str">
        <x:v>Inovance</x:v>
      </x:c>
      <x:c r="C56" s="2" t="str">
        <x:v>300124</x:v>
      </x:c>
      <x:c r="D56" s="20" t="n">
        <x:f>G41</x:f>
        <x:v>0.06527117463032292</x:v>
      </x:c>
      <x:c r="E56" s="22" t="n">
        <x:f>'Prices'!H62/'Prices'!G62-1</x:f>
        <x:v>0</x:v>
      </x:c>
      <x:c r="F56" s="20" t="n">
        <x:f>D56*E56</x:f>
        <x:v>0</x:v>
      </x:c>
      <x:c r="G56" s="20" t="n">
        <x:f>D56*(1+E56)/(1+SUM($F$51:$F$65))</x:f>
        <x:v>0.06494221413318012</x:v>
      </x:c>
      <x:c r="H56" s="22" t="n">
        <x:f>'Prices'!H62/'Prices'!I62-1</x:f>
        <x:v>0</x:v>
      </x:c>
    </x:row>
    <x:row r="57" ht="27" customHeight="1">
      <x:c r="A57" s="9" t="n">
        <x:v>46301</x:v>
      </x:c>
      <x:c r="B57" s="10" t="str">
        <x:v>Keyence</x:v>
      </x:c>
      <x:c r="C57" s="10" t="str">
        <x:v>6861</x:v>
      </x:c>
      <x:c r="D57" s="21" t="n">
        <x:f>G42</x:f>
        <x:v>0.06565701408626572</x:v>
      </x:c>
      <x:c r="E57" s="23" t="n">
        <x:f>'Prices'!H63/'Prices'!G63-1</x:f>
        <x:v>-0.002326150832517193</x:v>
      </x:c>
      <x:c r="F57" s="21" t="n">
        <x:f>D57*E57</x:f>
        <x:v>-0.00015272811797736006</x:v>
      </x:c>
      <x:c r="G57" s="21" t="n">
        <x:f>D57*(1+E57)/(1+SUM($F$51:$F$65))</x:f>
        <x:v>0.06517415061222719</x:v>
      </x:c>
      <x:c r="H57" s="23" t="n">
        <x:f>'Prices'!H63/'Prices'!I63-1</x:f>
        <x:v>0.0035714285714285587</x:v>
      </x:c>
    </x:row>
    <x:row r="58" ht="27" customHeight="1">
      <x:c r="A58" s="8" t="n">
        <x:v>46301</x:v>
      </x:c>
      <x:c r="B58" s="2" t="str">
        <x:v>Cognex</x:v>
      </x:c>
      <x:c r="C58" s="2" t="str">
        <x:v>CGNX</x:v>
      </x:c>
      <x:c r="D58" s="20" t="n">
        <x:f>G43</x:f>
        <x:v>0.06752660737630804</x:v>
      </x:c>
      <x:c r="E58" s="22" t="n">
        <x:f>'Prices'!H64/'Prices'!G64-1</x:f>
        <x:v>0.03075967065403118</x:v>
      </x:c>
      <x:c r="F58" s="20" t="n">
        <x:f>D58*E58</x:f>
        <x:v>0.002077096203279308</x:v>
      </x:c>
      <x:c r="G58" s="20" t="n">
        <x:f>D58*(1+E58)/(1+SUM($F$51:$F$65))</x:f>
        <x:v>0.06925290754960624</x:v>
      </x:c>
      <x:c r="H58" s="22" t="n">
        <x:f>'Prices'!H64/'Prices'!I64-1</x:f>
        <x:v>0.06637737062037918</x:v>
      </x:c>
    </x:row>
    <x:row r="59" ht="27" customHeight="1">
      <x:c r="A59" s="9" t="n">
        <x:v>46301</x:v>
      </x:c>
      <x:c r="B59" s="10" t="str">
        <x:v>Ouster</x:v>
      </x:c>
      <x:c r="C59" s="10" t="str">
        <x:v>OUST</x:v>
      </x:c>
      <x:c r="D59" s="21" t="n">
        <x:f>G44</x:f>
        <x:v>0.07046156654489473</x:v>
      </x:c>
      <x:c r="E59" s="23" t="n">
        <x:f>'Prices'!H65/'Prices'!G65-1</x:f>
        <x:v>0.017905711695376247</x:v>
      </x:c>
      <x:c r="F59" s="21" t="n">
        <x:f>D59*E59</x:f>
        <x:v>0.0012616644961574532</x:v>
      </x:c>
      <x:c r="G59" s="21" t="n">
        <x:f>D59*(1+E59)/(1+SUM($F$51:$F$65))</x:f>
        <x:v>0.07136175279474234</x:v>
      </x:c>
      <x:c r="H59" s="23" t="n">
        <x:f>'Prices'!H65/'Prices'!I65-1</x:f>
        <x:v>0.09885001223391243</x:v>
      </x:c>
    </x:row>
    <x:row r="60" ht="27" customHeight="1">
      <x:c r="A60" s="8" t="n">
        <x:v>46301</x:v>
      </x:c>
      <x:c r="B60" s="2" t="str">
        <x:v>Hesai</x:v>
      </x:c>
      <x:c r="C60" s="2" t="str">
        <x:v>HSAI</x:v>
      </x:c>
      <x:c r="D60" s="20" t="n">
        <x:f>G45</x:f>
        <x:v>0.06518922714177261</x:v>
      </x:c>
      <x:c r="E60" s="22" t="n">
        <x:f>'Prices'!H66/'Prices'!G66-1</x:f>
        <x:v>0.022627278441231802</x:v>
      </x:c>
      <x:c r="F60" s="20" t="n">
        <x:f>D60*E60</x:f>
        <x:v>0.0014750547939055944</x:v>
      </x:c>
      <x:c r="G60" s="20" t="n">
        <x:f>D60*(1+E60)/(1+SUM($F$51:$F$65))</x:f>
        <x:v>0.06632830031053612</x:v>
      </x:c>
      <x:c r="H60" s="22" t="n">
        <x:f>'Prices'!H66/'Prices'!I66-1</x:f>
        <x:v>0.021343377275580666</x:v>
      </x:c>
    </x:row>
    <x:row r="61" ht="27" customHeight="1">
      <x:c r="A61" s="9" t="n">
        <x:v>46301</x:v>
      </x:c>
      <x:c r="B61" s="10" t="str">
        <x:v>Rockwell Automation</x:v>
      </x:c>
      <x:c r="C61" s="10" t="str">
        <x:v>ROK</x:v>
      </x:c>
      <x:c r="D61" s="21" t="n">
        <x:f>G46</x:f>
        <x:v>0.06714913158149032</x:v>
      </x:c>
      <x:c r="E61" s="23" t="n">
        <x:f>'Prices'!H67/'Prices'!G67-1</x:f>
        <x:v>-0.009754382881497436</x:v>
      </x:c>
      <x:c r="F61" s="21" t="n">
        <x:f>D61*E61</x:f>
        <x:v>-0.000654998339605908</x:v>
      </x:c>
      <x:c r="G61" s="21" t="n">
        <x:f>D61*(1+E61)/(1+SUM($F$51:$F$65))</x:f>
        <x:v>0.06615900914993696</x:v>
      </x:c>
      <x:c r="H61" s="23" t="n">
        <x:f>'Prices'!H67/'Prices'!I67-1</x:f>
        <x:v>0.018736580404565606</x:v>
      </x:c>
    </x:row>
    <x:row r="62" ht="27" customHeight="1">
      <x:c r="A62" s="8" t="n">
        <x:v>46301</x:v>
      </x:c>
      <x:c r="B62" s="2" t="str">
        <x:v>Siemens</x:v>
      </x:c>
      <x:c r="C62" s="2" t="str">
        <x:v>SIE</x:v>
      </x:c>
      <x:c r="D62" s="20" t="n">
        <x:f>G47</x:f>
        <x:v>0.06601534764008388</x:v>
      </x:c>
      <x:c r="E62" s="22" t="n">
        <x:f>'Prices'!H68/'Prices'!G68-1</x:f>
        <x:v>0.014545454545454639</x:v>
      </x:c>
      <x:c r="F62" s="20" t="n">
        <x:f>D62*E62</x:f>
        <x:v>0.0009602232384012262</x:v>
      </x:c>
      <x:c r="G62" s="20" t="n">
        <x:f>D62*(1+E62)/(1+SUM($F$51:$F$65))</x:f>
        <x:v>0.06663802038674975</x:v>
      </x:c>
      <x:c r="H62" s="22" t="n">
        <x:f>'Prices'!H68/'Prices'!I68-1</x:f>
        <x:v>0.026112541375505893</x:v>
      </x:c>
    </x:row>
    <x:row r="63" ht="27" customHeight="1">
      <x:c r="A63" s="9" t="n">
        <x:v>46301</x:v>
      </x:c>
      <x:c r="B63" s="10" t="str">
        <x:v>NXP Semiconductors</x:v>
      </x:c>
      <x:c r="C63" s="10" t="str">
        <x:v>NXPI</x:v>
      </x:c>
      <x:c r="D63" s="21" t="n">
        <x:f>G48</x:f>
        <x:v>0.06602979273924177</x:v>
      </x:c>
      <x:c r="E63" s="23" t="n">
        <x:f>'Prices'!H69/'Prices'!G69-1</x:f>
        <x:v>0.009959912385832936</x:v>
      </x:c>
      <x:c r="F63" s="21" t="n">
        <x:f>D63*E63</x:f>
        <x:v>0.0006576509505375558</x:v>
      </x:c>
      <x:c r="G63" s="21" t="n">
        <x:f>D63*(1+E63)/(1+SUM($F$51:$F$65))</x:f>
        <x:v>0.06635134533160483</x:v>
      </x:c>
      <x:c r="H63" s="23" t="n">
        <x:f>'Prices'!H69/'Prices'!I69-1</x:f>
        <x:v>0.021698231531418477</x:v>
      </x:c>
    </x:row>
    <x:row r="64" ht="27" customHeight="1">
      <x:c r="A64" s="8" t="n">
        <x:v>46301</x:v>
      </x:c>
      <x:c r="B64" s="2" t="str">
        <x:v>Daifuku</x:v>
      </x:c>
      <x:c r="C64" s="2" t="str">
        <x:v>6383</x:v>
      </x:c>
      <x:c r="D64" s="20" t="n">
        <x:f>G49</x:f>
        <x:v>0.065741234529924</x:v>
      </x:c>
      <x:c r="E64" s="22" t="n">
        <x:f>'Prices'!H70/'Prices'!G70-1</x:f>
        <x:v>0.0042560435818863596</x:v>
      </x:c>
      <x:c r="F64" s="20" t="n">
        <x:f>D64*E64</x:f>
        <x:v>0.000279797559286369</x:v>
      </x:c>
      <x:c r="G64" s="20" t="n">
        <x:f>D64*(1+E64)/(1+SUM($F$51:$F$65))</x:f>
        <x:v>0.06568829238196663</x:v>
      </x:c>
      <x:c r="H64" s="22" t="n">
        <x:f>'Prices'!H70/'Prices'!I70-1</x:f>
        <x:v>0.011488340192043811</x:v>
      </x:c>
    </x:row>
    <x:row r="65" ht="27" customHeight="1">
      <x:c r="A65" s="9" t="n">
        <x:v>46301</x:v>
      </x:c>
      <x:c r="B65" s="10" t="str">
        <x:v>Hexagon</x:v>
      </x:c>
      <x:c r="C65" s="10" t="str">
        <x:v>HEXA B</x:v>
      </x:c>
      <x:c r="D65" s="21" t="n">
        <x:f>G50</x:f>
        <x:v>0.06733438182677728</x:v>
      </x:c>
      <x:c r="E65" s="23" t="n">
        <x:f>'Prices'!H71/'Prices'!G71-1</x:f>
        <x:v>0.012726382770435585</x:v>
      </x:c>
      <x:c r="F65" s="21" t="n">
        <x:f>D65*E65</x:f>
        <x:v>0.0008569231167382294</x:v>
      </x:c>
      <x:c r="G65" s="21" t="n">
        <x:f>D65*(1+E65)/(1+SUM($F$51:$F$65))</x:f>
        <x:v>0.06784762726800124</x:v>
      </x:c>
      <x:c r="H65" s="23" t="n">
        <x:f>'Prices'!H71/'Prices'!I71-1</x:f>
        <x:v>0.04473843667945876</x:v>
      </x:c>
    </x:row>
    <x:row r="66" ht="27" customHeight="1">
      <x:c r="A66" s="8" t="n">
        <x:v>46302</x:v>
      </x:c>
      <x:c r="B66" s="2" t="str">
        <x:v>FANUC</x:v>
      </x:c>
      <x:c r="C66" s="2" t="str">
        <x:v>6954</x:v>
      </x:c>
      <x:c r="D66" s="20" t="n">
        <x:f>G51</x:f>
        <x:v>0.06592795363283505</x:v>
      </x:c>
      <x:c r="E66" s="22" t="n">
        <x:f>'Prices'!H74/'Prices'!G74-1</x:f>
        <x:v>-0.009003215434083556</x:v>
      </x:c>
      <x:c r="F66" s="20" t="n">
        <x:f>D66*E66</x:f>
        <x:v>-0.0005935635696846855</x:v>
      </x:c>
      <x:c r="G66" s="20" t="n">
        <x:f>D66*(1+E66)/(1+SUM($F$66:$F$80))</x:f>
        <x:v>0.06681091043446796</x:v>
      </x:c>
      <x:c r="H66" s="22" t="n">
        <x:f>'Prices'!H74/'Prices'!I74-1</x:f>
        <x:v>0.006038844458952086</x:v>
      </x:c>
    </x:row>
    <x:row r="67" ht="27" customHeight="1">
      <x:c r="A67" s="9" t="n">
        <x:v>46302</x:v>
      </x:c>
      <x:c r="B67" s="10" t="str">
        <x:v>Yaskawa Electric</x:v>
      </x:c>
      <x:c r="C67" s="10" t="str">
        <x:v>6506</x:v>
      </x:c>
      <x:c r="D67" s="21" t="n">
        <x:f>G52</x:f>
        <x:v>0.06707569971989477</x:v>
      </x:c>
      <x:c r="E67" s="23" t="n">
        <x:f>'Prices'!H75/'Prices'!G75-1</x:f>
        <x:v>0.0020259319286872746</x:v>
      </x:c>
      <x:c r="F67" s="21" t="n">
        <x:f>D67*E67</x:f>
        <x:v>0.0001358908017015749</x:v>
      </x:c>
      <x:c r="G67" s="21" t="n">
        <x:f>D67*(1+E67)/(1+SUM($F$66:$F$80))</x:f>
        <x:v>0.06873053456466267</x:v>
      </x:c>
      <x:c r="H67" s="23" t="n">
        <x:f>'Prices'!H75/'Prices'!I75-1</x:f>
        <x:v>0.03494454906884292</x:v>
      </x:c>
    </x:row>
    <x:row r="68" ht="27" customHeight="1">
      <x:c r="A68" s="8" t="n">
        <x:v>46302</x:v>
      </x:c>
      <x:c r="B68" s="2" t="str">
        <x:v>Estun Automation</x:v>
      </x:c>
      <x:c r="C68" s="13" t="str">
        <x:v>002747</x:v>
      </x:c>
      <x:c r="D68" s="20" t="n">
        <x:f>G53</x:f>
        <x:v>0.06494221413318012</x:v>
      </x:c>
      <x:c r="E68" s="22" t="n">
        <x:f>'Prices'!H76/'Prices'!G76-1</x:f>
        <x:v>0</x:v>
      </x:c>
      <x:c r="F68" s="20" t="n">
        <x:f>D68*E68</x:f>
        <x:v>0</x:v>
      </x:c>
      <x:c r="G68" s="20" t="n">
        <x:f>D68*(1+E68)/(1+SUM($F$66:$F$80))</x:f>
        <x:v>0.06640987154964068</x:v>
      </x:c>
      <x:c r="H68" s="22" t="n">
        <x:f>'Prices'!H76/'Prices'!I76-1</x:f>
        <x:v>0</x:v>
      </x:c>
    </x:row>
    <x:row r="69" ht="27" customHeight="1">
      <x:c r="A69" s="9" t="n">
        <x:v>46302</x:v>
      </x:c>
      <x:c r="B69" s="10" t="str">
        <x:v>Teradyne</x:v>
      </x:c>
      <x:c r="C69" s="10" t="str">
        <x:v>TER</x:v>
      </x:c>
      <x:c r="D69" s="21" t="n">
        <x:f>G54</x:f>
        <x:v>0.06721165392575594</x:v>
      </x:c>
      <x:c r="E69" s="23" t="n">
        <x:f>'Prices'!H77/'Prices'!G77-1</x:f>
        <x:v>-0.04308421639709992</x:v>
      </x:c>
      <x:c r="F69" s="21" t="n">
        <x:f>D69*E69</x:f>
        <x:v>-0.0028957614421442593</x:v>
      </x:c>
      <x:c r="G69" s="21" t="n">
        <x:f>D69*(1+E69)/(1+SUM($F$66:$F$80))</x:f>
        <x:v>0.0657693953839944</x:v>
      </x:c>
      <x:c r="H69" s="23" t="n">
        <x:f>'Prices'!H77/'Prices'!I77-1</x:f>
        <x:v>-0.009644291589504417</x:v>
      </x:c>
    </x:row>
    <x:row r="70" ht="27" customHeight="1">
      <x:c r="A70" s="8" t="n">
        <x:v>46302</x:v>
      </x:c>
      <x:c r="B70" s="2" t="str">
        <x:v>Nabtesco</x:v>
      </x:c>
      <x:c r="C70" s="2" t="str">
        <x:v>6268</x:v>
      </x:c>
      <x:c r="D70" s="20" t="n">
        <x:f>G55</x:f>
        <x:v>0.06509885866978275</x:v>
      </x:c>
      <x:c r="E70" s="22" t="n">
        <x:f>'Prices'!H78/'Prices'!G78-1</x:f>
        <x:v>0.004611991177060348</x:v>
      </x:c>
      <x:c r="F70" s="20" t="n">
        <x:f>D70*E70</x:f>
        <x:v>0.0003002353618217366</x:v>
      </x:c>
      <x:c r="G70" s="20" t="n">
        <x:f>D70*(1+E70)/(1+SUM($F$66:$F$80))</x:f>
        <x:v>0.06687707667612056</x:v>
      </x:c>
      <x:c r="H70" s="22" t="n">
        <x:f>'Prices'!H78/'Prices'!I78-1</x:f>
        <x:v>0.007035175879396949</x:v>
      </x:c>
    </x:row>
    <x:row r="71" ht="27" customHeight="1">
      <x:c r="A71" s="9" t="n">
        <x:v>46302</x:v>
      </x:c>
      <x:c r="B71" s="10" t="str">
        <x:v>Inovance</x:v>
      </x:c>
      <x:c r="C71" s="10" t="str">
        <x:v>300124</x:v>
      </x:c>
      <x:c r="D71" s="21" t="n">
        <x:f>G56</x:f>
        <x:v>0.06494221413318012</x:v>
      </x:c>
      <x:c r="E71" s="23" t="n">
        <x:f>'Prices'!H79/'Prices'!G79-1</x:f>
        <x:v>0</x:v>
      </x:c>
      <x:c r="F71" s="21" t="n">
        <x:f>D71*E71</x:f>
        <x:v>0</x:v>
      </x:c>
      <x:c r="G71" s="21" t="n">
        <x:f>D71*(1+E71)/(1+SUM($F$66:$F$80))</x:f>
        <x:v>0.06640987154964068</x:v>
      </x:c>
      <x:c r="H71" s="23" t="n">
        <x:f>'Prices'!H79/'Prices'!I79-1</x:f>
        <x:v>0</x:v>
      </x:c>
    </x:row>
    <x:row r="72" ht="27" customHeight="1">
      <x:c r="A72" s="8" t="n">
        <x:v>46302</x:v>
      </x:c>
      <x:c r="B72" s="2" t="str">
        <x:v>Keyence</x:v>
      </x:c>
      <x:c r="C72" s="2" t="str">
        <x:v>6861</x:v>
      </x:c>
      <x:c r="D72" s="20" t="n">
        <x:f>G57</x:f>
        <x:v>0.06517415061222719</x:v>
      </x:c>
      <x:c r="E72" s="22" t="n">
        <x:f>'Prices'!H80/'Prices'!G80-1</x:f>
        <x:v>0.0008590011044300461</x:v>
      </x:c>
      <x:c r="F72" s="20" t="n">
        <x:f>D72*E72</x:f>
        <x:v>0.000055984667356193315</x:v>
      </x:c>
      <x:c r="G72" s="20" t="n">
        <x:f>D72*(1+E72)/(1+SUM($F$66:$F$80))</x:f>
        <x:v>0.0667042995515849</x:v>
      </x:c>
      <x:c r="H72" s="22" t="n">
        <x:f>'Prices'!H80/'Prices'!I80-1</x:f>
        <x:v>0.004433497536945774</x:v>
      </x:c>
    </x:row>
    <x:row r="73" ht="27" customHeight="1">
      <x:c r="A73" s="9" t="n">
        <x:v>46302</x:v>
      </x:c>
      <x:c r="B73" s="10" t="str">
        <x:v>Cognex</x:v>
      </x:c>
      <x:c r="C73" s="10" t="str">
        <x:v>CGNX</x:v>
      </x:c>
      <x:c r="D73" s="21" t="n">
        <x:f>G58</x:f>
        <x:v>0.06925290754960624</x:v>
      </x:c>
      <x:c r="E73" s="23" t="n">
        <x:f>'Prices'!H81/'Prices'!G81-1</x:f>
        <x:v>-0.07746797287113782</x:v>
      </x:c>
      <x:c r="F73" s="21" t="n">
        <x:f>D73*E73</x:f>
        <x:v>-0.005364882363300312</x:v>
      </x:c>
      <x:c r="G73" s="21" t="n">
        <x:f>D73*(1+E73)/(1+SUM($F$66:$F$80))</x:f>
        <x:v>0.06533185852705731</x:v>
      </x:c>
      <x:c r="H73" s="23" t="n">
        <x:f>'Prices'!H81/'Prices'!I81-1</x:f>
        <x:v>-0.016232722597235627</x:v>
      </x:c>
    </x:row>
    <x:row r="74" ht="27" customHeight="1">
      <x:c r="A74" s="8" t="n">
        <x:v>46302</x:v>
      </x:c>
      <x:c r="B74" s="2" t="str">
        <x:v>Ouster</x:v>
      </x:c>
      <x:c r="C74" s="2" t="str">
        <x:v>OUST</x:v>
      </x:c>
      <x:c r="D74" s="20" t="n">
        <x:f>G59</x:f>
        <x:v>0.07136175279474234</x:v>
      </x:c>
      <x:c r="E74" s="22" t="n">
        <x:f>'Prices'!H82/'Prices'!G82-1</x:f>
        <x:v>-0.07214428857715416</x:v>
      </x:c>
      <x:c r="F74" s="20" t="n">
        <x:f>D74*E74</x:f>
        <x:v>-0.005148342886995429</x:v>
      </x:c>
      <x:c r="G74" s="20" t="n">
        <x:f>D74*(1+E74)/(1+SUM($F$66:$F$80))</x:f>
        <x:v>0.06770979563184555</x:v>
      </x:c>
      <x:c r="H74" s="22" t="n">
        <x:f>'Prices'!H82/'Prices'!I82-1</x:f>
        <x:v>0.019574259848299524</x:v>
      </x:c>
    </x:row>
    <x:row r="75" ht="27" customHeight="1">
      <x:c r="A75" s="9" t="n">
        <x:v>46302</x:v>
      </x:c>
      <x:c r="B75" s="10" t="str">
        <x:v>Hesai</x:v>
      </x:c>
      <x:c r="C75" s="10" t="str">
        <x:v>HSAI</x:v>
      </x:c>
      <x:c r="D75" s="21" t="n">
        <x:f>G60</x:f>
        <x:v>0.06632830031053612</x:v>
      </x:c>
      <x:c r="E75" s="23" t="n">
        <x:f>'Prices'!H83/'Prices'!G83-1</x:f>
        <x:v>-0.01659496004917027</x:v>
      </x:c>
      <x:c r="F75" s="21" t="n">
        <x:f>D75*E75</x:f>
        <x:v>-0.001100715493782715</x:v>
      </x:c>
      <x:c r="G75" s="21" t="n">
        <x:f>D75*(1+E75)/(1+SUM($F$66:$F$80))</x:f>
        <x:v>0.06670169144973326</x:v>
      </x:c>
      <x:c r="H75" s="23" t="n">
        <x:f>'Prices'!H83/'Prices'!I83-1</x:f>
        <x:v>0.00439422473320783</x:v>
      </x:c>
    </x:row>
    <x:row r="76" ht="27" customHeight="1">
      <x:c r="A76" s="8" t="n">
        <x:v>46302</x:v>
      </x:c>
      <x:c r="B76" s="2" t="str">
        <x:v>Rockwell Automation</x:v>
      </x:c>
      <x:c r="C76" s="2" t="str">
        <x:v>ROK</x:v>
      </x:c>
      <x:c r="D76" s="20" t="n">
        <x:f>G61</x:f>
        <x:v>0.06615900914993696</x:v>
      </x:c>
      <x:c r="E76" s="22" t="n">
        <x:f>'Prices'!H84/'Prices'!G84-1</x:f>
        <x:v>-0.019612193282158352</x:v>
      </x:c>
      <x:c r="F76" s="20" t="n">
        <x:f>D76*E76</x:f>
        <x:v>-0.0012975232748046466</x:v>
      </x:c>
      <x:c r="G76" s="20" t="n">
        <x:f>D76*(1+E76)/(1+SUM($F$66:$F$80))</x:f>
        <x:v>0.06632731887848618</x:v>
      </x:c>
      <x:c r="H76" s="22" t="n">
        <x:f>'Prices'!H84/'Prices'!I84-1</x:f>
        <x:v>-0.0012430783139337764</x:v>
      </x:c>
    </x:row>
    <x:row r="77" ht="27" customHeight="1">
      <x:c r="A77" s="9" t="n">
        <x:v>46302</x:v>
      </x:c>
      <x:c r="B77" s="10" t="str">
        <x:v>Siemens</x:v>
      </x:c>
      <x:c r="C77" s="10" t="str">
        <x:v>SIE</x:v>
      </x:c>
      <x:c r="D77" s="21" t="n">
        <x:f>G62</x:f>
        <x:v>0.06663802038674975</x:v>
      </x:c>
      <x:c r="E77" s="23" t="n">
        <x:f>'Prices'!H85/'Prices'!G85-1</x:f>
        <x:v>-0.027956989247311825</x:v>
      </x:c>
      <x:c r="F77" s="21" t="n">
        <x:f>D77*E77</x:f>
        <x:v>-0.001862998419414509</x:v>
      </x:c>
      <x:c r="G77" s="21" t="n">
        <x:f>D77*(1+E77)/(1+SUM($F$66:$F$80))</x:f>
        <x:v>0.06623890093513261</x:v>
      </x:c>
      <x:c r="H77" s="23" t="n">
        <x:f>'Prices'!H85/'Prices'!I85-1</x:f>
        <x:v>-0.0025744759102610537</x:v>
      </x:c>
    </x:row>
    <x:row r="78" ht="27" customHeight="1">
      <x:c r="A78" s="8" t="n">
        <x:v>46302</x:v>
      </x:c>
      <x:c r="B78" s="2" t="str">
        <x:v>NXP Semiconductors</x:v>
      </x:c>
      <x:c r="C78" s="2" t="str">
        <x:v>NXPI</x:v>
      </x:c>
      <x:c r="D78" s="20" t="n">
        <x:f>G63</x:f>
        <x:v>0.06635134533160483</x:v>
      </x:c>
      <x:c r="E78" s="22" t="n">
        <x:f>'Prices'!H86/'Prices'!G86-1</x:f>
        <x:v>-0.037482609051477156</x:v>
      </x:c>
      <x:c r="F78" s="20" t="n">
        <x:f>D78*E78</x:f>
        <x:v>-0.002487021537104098</x:v>
      </x:c>
      <x:c r="G78" s="20" t="n">
        <x:f>D78*(1+E78)/(1+SUM($F$66:$F$80))</x:f>
        <x:v>0.06530762149716327</x:v>
      </x:c>
      <x:c r="H78" s="22" t="n">
        <x:f>'Prices'!H86/'Prices'!I86-1</x:f>
        <x:v>-0.016597683849659317</x:v>
      </x:c>
    </x:row>
    <x:row r="79" ht="27" customHeight="1">
      <x:c r="A79" s="9" t="n">
        <x:v>46302</x:v>
      </x:c>
      <x:c r="B79" s="10" t="str">
        <x:v>Daifuku</x:v>
      </x:c>
      <x:c r="C79" s="10" t="str">
        <x:v>6383</x:v>
      </x:c>
      <x:c r="D79" s="21" t="n">
        <x:f>G64</x:f>
        <x:v>0.06568829238196663</x:v>
      </x:c>
      <x:c r="E79" s="23" t="n">
        <x:f>'Prices'!H87/'Prices'!G87-1</x:f>
        <x:v>-0.004068486184099052</x:v>
      </x:c>
      <x:c r="F79" s="21" t="n">
        <x:f>D79*E79</x:f>
        <x:v>-0.00026725191001309025</x:v>
      </x:c>
      <x:c r="G79" s="21" t="n">
        <x:f>D79*(1+E79)/(1+SUM($F$66:$F$80))</x:f>
        <x:v>0.06689951909364521</x:v>
      </x:c>
      <x:c r="H79" s="23" t="n">
        <x:f>'Prices'!H87/'Prices'!I87-1</x:f>
        <x:v>0.007373113854595381</x:v>
      </x:c>
    </x:row>
    <x:row r="80" ht="27" customHeight="1">
      <x:c r="A80" s="8" t="n">
        <x:v>46302</x:v>
      </x:c>
      <x:c r="B80" s="2" t="str">
        <x:v>Hexagon</x:v>
      </x:c>
      <x:c r="C80" s="2" t="str">
        <x:v>HEXA B</x:v>
      </x:c>
      <x:c r="D80" s="20" t="n">
        <x:f>G65</x:f>
        <x:v>0.06784762726800124</x:v>
      </x:c>
      <x:c r="E80" s="22" t="n">
        <x:f>'Prices'!H88/'Prices'!G88-1</x:f>
        <x:v>-0.023199613339777714</x:v>
      </x:c>
      <x:c r="F80" s="20" t="n">
        <x:f>D80*E80</x:f>
        <x:v>-0.0015740387186389878</x:v>
      </x:c>
      <x:c r="G80" s="20" t="n">
        <x:f>D80*(1+E80)/(1+SUM($F$66:$F$80))</x:f>
        <x:v>0.06777133427682479</x:v>
      </x:c>
      <x:c r="H80" s="22" t="n">
        <x:f>'Prices'!H88/'Prices'!I88-1</x:f>
        <x:v>0.020500908907291393</x:v>
      </x:c>
    </x:row>
    <x:row r="81" ht="27" customHeight="1">
      <x:c r="A81" s="9" t="n">
        <x:v>46303</x:v>
      </x:c>
      <x:c r="B81" s="10" t="str">
        <x:v>FANUC</x:v>
      </x:c>
      <x:c r="C81" s="10" t="str">
        <x:v>6954</x:v>
      </x:c>
      <x:c r="D81" s="21" t="n">
        <x:f>G66</x:f>
        <x:v>0.06681091043446796</x:v>
      </x:c>
      <x:c r="E81" s="23" t="n">
        <x:f>'Prices'!H91/'Prices'!G91-1</x:f>
        <x:v>-0.02352368591823495</x:v>
      </x:c>
      <x:c r="F81" s="21" t="n">
        <x:f>D81*E81</x:f>
        <x:v>-0.0015716388729717504</x:v>
      </x:c>
      <x:c r="G81" s="21" t="n">
        <x:f>D81*(1+E81)/(1+SUM($F$81:$F$95))</x:f>
        <x:v>0.06704430190053146</x:v>
      </x:c>
      <x:c r="H81" s="23" t="n">
        <x:f>'Prices'!H91/'Prices'!I91-1</x:f>
        <x:v>-0.017626897339644176</x:v>
      </x:c>
    </x:row>
    <x:row r="82" ht="27" customHeight="1">
      <x:c r="A82" s="8" t="n">
        <x:v>46303</x:v>
      </x:c>
      <x:c r="B82" s="2" t="str">
        <x:v>Yaskawa Electric</x:v>
      </x:c>
      <x:c r="C82" s="2" t="str">
        <x:v>6506</x:v>
      </x:c>
      <x:c r="D82" s="20" t="n">
        <x:f>G67</x:f>
        <x:v>0.06873053456466267</x:v>
      </x:c>
      <x:c r="E82" s="22" t="n">
        <x:f>'Prices'!H92/'Prices'!G92-1</x:f>
        <x:v>-0.03174282248281435</x:v>
      </x:c>
      <x:c r="F82" s="20" t="n">
        <x:f>D82*E82</x:f>
        <x:v>-0.002181701157835023</x:v>
      </x:c>
      <x:c r="G82" s="20" t="n">
        <x:f>D82*(1+E82)/(1+SUM($F$81:$F$95))</x:f>
        <x:v>0.06839009650574954</x:v>
      </x:c>
      <x:c r="H82" s="22" t="n">
        <x:f>'Prices'!H92/'Prices'!I92-1</x:f>
        <x:v>0.0020924879681942787</x:v>
      </x:c>
    </x:row>
    <x:row r="83" ht="27" customHeight="1">
      <x:c r="A83" s="9" t="n">
        <x:v>46303</x:v>
      </x:c>
      <x:c r="B83" s="10" t="str">
        <x:v>Estun Automation</x:v>
      </x:c>
      <x:c r="C83" s="15" t="str">
        <x:v>002747</x:v>
      </x:c>
      <x:c r="D83" s="21" t="n">
        <x:f>G68</x:f>
        <x:v>0.06640987154964068</x:v>
      </x:c>
      <x:c r="E83" s="23" t="n">
        <x:f>'Prices'!H93/'Prices'!G93-1</x:f>
        <x:v>-0.04819277108433728</x:v>
      </x:c>
      <x:c r="F83" s="21" t="n">
        <x:f>D83*E83</x:f>
        <x:v>-0.0032004757373320764</x:v>
      </x:c>
      <x:c r="G83" s="21" t="n">
        <x:f>D83*(1+E83)/(1+SUM($F$81:$F$95))</x:f>
        <x:v>0.06495826385486109</x:v>
      </x:c>
      <x:c r="H83" s="23" t="n">
        <x:f>'Prices'!H93/'Prices'!I93-1</x:f>
        <x:v>-0.04819277108433728</x:v>
      </x:c>
    </x:row>
    <x:row r="84" ht="27" customHeight="1">
      <x:c r="A84" s="8" t="n">
        <x:v>46303</x:v>
      </x:c>
      <x:c r="B84" s="2" t="str">
        <x:v>Teradyne</x:v>
      </x:c>
      <x:c r="C84" s="2" t="str">
        <x:v>TER</x:v>
      </x:c>
      <x:c r="D84" s="20" t="n">
        <x:f>G69</x:f>
        <x:v>0.0657693953839944</x:v>
      </x:c>
      <x:c r="E84" s="22" t="n">
        <x:f>'Prices'!H94/'Prices'!G94-1</x:f>
        <x:v>-0.03171596483559169</x:v>
      </x:c>
      <x:c r="F84" s="20" t="n">
        <x:f>D84*E84</x:f>
        <x:v>-0.002085939831256893</x:v>
      </x:c>
      <x:c r="G84" s="20" t="n">
        <x:f>D84*(1+E84)/(1+SUM($F$81:$F$95))</x:f>
        <x:v>0.06544543980878394</x:v>
      </x:c>
      <x:c r="H84" s="22" t="n">
        <x:f>'Prices'!H94/'Prices'!I94-1</x:f>
        <x:v>-0.04105437841217918</x:v>
      </x:c>
    </x:row>
    <x:row r="85" ht="27" customHeight="1">
      <x:c r="A85" s="9" t="n">
        <x:v>46303</x:v>
      </x:c>
      <x:c r="B85" s="10" t="str">
        <x:v>Nabtesco</x:v>
      </x:c>
      <x:c r="C85" s="10" t="str">
        <x:v>6268</x:v>
      </x:c>
      <x:c r="D85" s="21" t="n">
        <x:f>G70</x:f>
        <x:v>0.06687707667612056</x:v>
      </x:c>
      <x:c r="E85" s="23" t="n">
        <x:f>'Prices'!H95/'Prices'!G95-1</x:f>
        <x:v>-0.04291417165668665</x:v>
      </x:c>
      <x:c r="F85" s="21" t="n">
        <x:f>D85*E85</x:f>
        <x:v>-0.0028699743483764327</x:v>
      </x:c>
      <x:c r="G85" s="21" t="n">
        <x:f>D85*(1+E85)/(1+SUM($F$81:$F$95))</x:f>
        <x:v>0.06577804119401282</x:v>
      </x:c>
      <x:c r="H85" s="23" t="n">
        <x:f>'Prices'!H95/'Prices'!I95-1</x:f>
        <x:v>-0.03618090452261302</x:v>
      </x:c>
    </x:row>
    <x:row r="86" ht="27" customHeight="1">
      <x:c r="A86" s="8" t="n">
        <x:v>46303</x:v>
      </x:c>
      <x:c r="B86" s="2" t="str">
        <x:v>Inovance</x:v>
      </x:c>
      <x:c r="C86" s="2" t="str">
        <x:v>300124</x:v>
      </x:c>
      <x:c r="D86" s="20" t="n">
        <x:f>G71</x:f>
        <x:v>0.06640987154964068</x:v>
      </x:c>
      <x:c r="E86" s="22" t="n">
        <x:f>'Prices'!H96/'Prices'!G96-1</x:f>
        <x:v>-0.039499036608863114</x:v>
      </x:c>
      <x:c r="F86" s="20" t="n">
        <x:f>D86*E86</x:f>
        <x:v>-0.002623125947529154</x:v>
      </x:c>
      <x:c r="G86" s="20" t="n">
        <x:f>D86*(1+E86)/(1+SUM($F$81:$F$95))</x:f>
        <x:v>0.06555158767168619</x:v>
      </x:c>
      <x:c r="H86" s="22" t="n">
        <x:f>'Prices'!H96/'Prices'!I96-1</x:f>
        <x:v>-0.039499036608863114</x:v>
      </x:c>
    </x:row>
    <x:row r="87" ht="27" customHeight="1">
      <x:c r="A87" s="9" t="n">
        <x:v>46303</x:v>
      </x:c>
      <x:c r="B87" s="10" t="str">
        <x:v>Keyence</x:v>
      </x:c>
      <x:c r="C87" s="10" t="str">
        <x:v>6861</x:v>
      </x:c>
      <x:c r="D87" s="21" t="n">
        <x:f>G72</x:f>
        <x:v>0.0667042995515849</x:v>
      </x:c>
      <x:c r="E87" s="23" t="n">
        <x:f>'Prices'!H97/'Prices'!G97-1</x:f>
        <x:v>-0.019127023050514946</x:v>
      </x:c>
      <x:c r="F87" s="21" t="n">
        <x:f>D87*E87</x:f>
        <x:v>-0.0012758546750916181</x:v>
      </x:c>
      <x:c r="G87" s="21" t="n">
        <x:f>D87*(1+E87)/(1+SUM($F$81:$F$95))</x:f>
        <x:v>0.06723870923431403</x:v>
      </x:c>
      <x:c r="H87" s="23" t="n">
        <x:f>'Prices'!H97/'Prices'!I97-1</x:f>
        <x:v>-0.014778325123152691</x:v>
      </x:c>
    </x:row>
    <x:row r="88" ht="27" customHeight="1">
      <x:c r="A88" s="8" t="n">
        <x:v>46303</x:v>
      </x:c>
      <x:c r="B88" s="2" t="str">
        <x:v>Cognex</x:v>
      </x:c>
      <x:c r="C88" s="2" t="str">
        <x:v>CGNX</x:v>
      </x:c>
      <x:c r="D88" s="20" t="n">
        <x:f>G73</x:f>
        <x:v>0.06533185852705731</x:v>
      </x:c>
      <x:c r="E88" s="22" t="n">
        <x:f>'Prices'!H98/'Prices'!G98-1</x:f>
        <x:v>-0.004901159941186117</x:v>
      </x:c>
      <x:c r="F88" s="20" t="n">
        <x:f>D88*E88</x:f>
        <x:v>-0.0003202018878960519</x:v>
      </x:c>
      <x:c r="G88" s="20" t="n">
        <x:f>D88*(1+E88)/(1+SUM($F$81:$F$95))</x:f>
        <x:v>0.06681038936280935</x:v>
      </x:c>
      <x:c r="H88" s="22" t="n">
        <x:f>'Prices'!H98/'Prices'!I98-1</x:f>
        <x:v>-0.02105432336869173</x:v>
      </x:c>
    </x:row>
    <x:row r="89" ht="27" customHeight="1">
      <x:c r="A89" s="9" t="n">
        <x:v>46303</x:v>
      </x:c>
      <x:c r="B89" s="10" t="str">
        <x:v>Ouster</x:v>
      </x:c>
      <x:c r="C89" s="10" t="str">
        <x:v>OUST</x:v>
      </x:c>
      <x:c r="D89" s="21" t="n">
        <x:f>G74</x:f>
        <x:v>0.06770979563184555</x:v>
      </x:c>
      <x:c r="E89" s="23" t="n">
        <x:f>'Prices'!H99/'Prices'!G99-1</x:f>
        <x:v>-0.0513558915286777</x:v>
      </x:c>
      <x:c r="F89" s="21" t="n">
        <x:f>D89*E89</x:f>
        <x:v>-0.0034772969198979954</x:v>
      </x:c>
      <x:c r="G89" s="21" t="n">
        <x:f>D89*(1+E89)/(1+SUM($F$81:$F$95))</x:f>
        <x:v>0.06600967381142453</x:v>
      </x:c>
      <x:c r="H89" s="23" t="n">
        <x:f>'Prices'!H99/'Prices'!I99-1</x:f>
        <x:v>-0.032786885245901565</x:v>
      </x:c>
    </x:row>
    <x:row r="90" ht="27" customHeight="1">
      <x:c r="A90" s="8" t="n">
        <x:v>46303</x:v>
      </x:c>
      <x:c r="B90" s="2" t="str">
        <x:v>Hesai</x:v>
      </x:c>
      <x:c r="C90" s="2" t="str">
        <x:v>HSAI</x:v>
      </x:c>
      <x:c r="D90" s="20" t="n">
        <x:f>G75</x:f>
        <x:v>0.06670169144973326</x:v>
      </x:c>
      <x:c r="E90" s="22" t="n">
        <x:f>'Prices'!H100/'Prices'!G100-1</x:f>
        <x:v>-0.024375000000000036</x:v>
      </x:c>
      <x:c r="F90" s="20" t="n">
        <x:f>D90*E90</x:f>
        <x:v>-0.0016258537290872504</x:v>
      </x:c>
      <x:c r="G90" s="20" t="n">
        <x:f>D90*(1+E90)/(1+SUM($F$81:$F$95))</x:f>
        <x:v>0.06687634619678949</x:v>
      </x:c>
      <x:c r="H90" s="22" t="n">
        <x:f>'Prices'!H100/'Prices'!I100-1</x:f>
        <x:v>-0.020087884494664143</x:v>
      </x:c>
    </x:row>
    <x:row r="91" ht="27" customHeight="1">
      <x:c r="A91" s="9" t="n">
        <x:v>46303</x:v>
      </x:c>
      <x:c r="B91" s="10" t="str">
        <x:v>Rockwell Automation</x:v>
      </x:c>
      <x:c r="C91" s="10" t="str">
        <x:v>ROK</x:v>
      </x:c>
      <x:c r="D91" s="21" t="n">
        <x:f>G76</x:f>
        <x:v>0.06632731887848618</x:v>
      </x:c>
      <x:c r="E91" s="23" t="n">
        <x:f>'Prices'!H101/'Prices'!G101-1</x:f>
        <x:v>-0.017560534057479038</x:v>
      </x:c>
      <x:c r="F91" s="21" t="n">
        <x:f>D91*E91</x:f>
        <x:v>-0.001164743142106929</x:v>
      </x:c>
      <x:c r="G91" s="21" t="n">
        <x:f>D91*(1+E91)/(1+SUM($F$81:$F$95))</x:f>
        <x:v>0.0669654840668773</x:v>
      </x:c>
      <x:c r="H91" s="23" t="n">
        <x:f>'Prices'!H101/'Prices'!I101-1</x:f>
        <x:v>-0.01878178325234492</x:v>
      </x:c>
    </x:row>
    <x:row r="92" ht="27" customHeight="1">
      <x:c r="A92" s="8" t="n">
        <x:v>46303</x:v>
      </x:c>
      <x:c r="B92" s="2" t="str">
        <x:v>Siemens</x:v>
      </x:c>
      <x:c r="C92" s="2" t="str">
        <x:v>SIE</x:v>
      </x:c>
      <x:c r="D92" s="20" t="n">
        <x:f>G77</x:f>
        <x:v>0.06623890093513261</x:v>
      </x:c>
      <x:c r="E92" s="22" t="n">
        <x:f>'Prices'!H102/'Prices'!G102-1</x:f>
        <x:v>-0.02562684365781709</x:v>
      </x:c>
      <x:c r="F92" s="20" t="n">
        <x:f>D92*E92</x:f>
        <x:v>-0.0016974939583302776</x:v>
      </x:c>
      <x:c r="G92" s="20" t="n">
        <x:f>D92*(1+E92)/(1+SUM($F$81:$F$95))</x:f>
        <x:v>0.06632712890362265</x:v>
      </x:c>
      <x:c r="H92" s="22" t="n">
        <x:f>'Prices'!H102/'Prices'!I102-1</x:f>
        <x:v>-0.028135343876425023</x:v>
      </x:c>
    </x:row>
    <x:row r="93" ht="27" customHeight="1">
      <x:c r="A93" s="9" t="n">
        <x:v>46303</x:v>
      </x:c>
      <x:c r="B93" s="10" t="str">
        <x:v>NXP Semiconductors</x:v>
      </x:c>
      <x:c r="C93" s="10" t="str">
        <x:v>NXPI</x:v>
      </x:c>
      <x:c r="D93" s="21" t="n">
        <x:f>G78</x:f>
        <x:v>0.06530762149716327</x:v>
      </x:c>
      <x:c r="E93" s="23" t="n">
        <x:f>'Prices'!H103/'Prices'!G103-1</x:f>
        <x:v>-0.017643057563132447</x:v>
      </x:c>
      <x:c r="F93" s="21" t="n">
        <x:f>D93*E93</x:f>
        <x:v>-0.0011522261253857176</x:v>
      </x:c>
      <x:c r="G93" s="21" t="n">
        <x:f>D93*(1+E93)/(1+SUM($F$81:$F$95))</x:f>
        <x:v>0.06593043718765222</x:v>
      </x:c>
      <x:c r="H93" s="23" t="n">
        <x:f>'Prices'!H103/'Prices'!I103-1</x:f>
        <x:v>-0.03394790752121746</x:v>
      </x:c>
    </x:row>
    <x:row r="94" ht="27" customHeight="1">
      <x:c r="A94" s="8" t="n">
        <x:v>46303</x:v>
      </x:c>
      <x:c r="B94" s="2" t="str">
        <x:v>Daifuku</x:v>
      </x:c>
      <x:c r="C94" s="2" t="str">
        <x:v>6383</x:v>
      </x:c>
      <x:c r="D94" s="20" t="n">
        <x:f>G79</x:f>
        <x:v>0.06689951909364521</x:v>
      </x:c>
      <x:c r="E94" s="22" t="n">
        <x:f>'Prices'!H104/'Prices'!G104-1</x:f>
        <x:v>-0.027063829787234095</x:v>
      </x:c>
      <x:c r="F94" s="20" t="n">
        <x:f>D94*E94</x:f>
        <x:v>-0.0018105571975982311</x:v>
      </x:c>
      <x:c r="G94" s="20" t="n">
        <x:f>D94*(1+E94)/(1+SUM($F$81:$F$95))</x:f>
        <x:v>0.06688983348989865</x:v>
      </x:c>
      <x:c r="H94" s="22" t="n">
        <x:f>'Prices'!H104/'Prices'!I104-1</x:f>
        <x:v>-0.01989026063100141</x:v>
      </x:c>
    </x:row>
    <x:row r="95" ht="27" customHeight="1">
      <x:c r="A95" s="9" t="n">
        <x:v>46303</x:v>
      </x:c>
      <x:c r="B95" s="10" t="str">
        <x:v>Hexagon</x:v>
      </x:c>
      <x:c r="C95" s="10" t="str">
        <x:v>HEXA B</x:v>
      </x:c>
      <x:c r="D95" s="21" t="n">
        <x:f>G80</x:f>
        <x:v>0.06777133427682479</x:v>
      </x:c>
      <x:c r="E95" s="23" t="n">
        <x:f>'Prices'!H105/'Prices'!G105-1</x:f>
        <x:v>0.0019792182088076427</x:v>
      </x:c>
      <x:c r="F95" s="21" t="n">
        <x:f>D95*E95</x:f>
        <x:v>0.00013413425883588114</x:v>
      </x:c>
      <x:c r="G95" s="21" t="n">
        <x:f>D95*(1+E95)/(1+SUM($F$81:$F$95))</x:f>
        <x:v>0.06978426681098678</x:v>
      </x:c>
      <x:c r="H95" s="23" t="n">
        <x:f>'Prices'!H105/'Prices'!I105-1</x:f>
        <x:v>0.022520702888305433</x:v>
      </x:c>
    </x:row>
    <x:row r="96" ht="27" customHeight="1">
      <x:c r="A96" s="8" t="n">
        <x:v>46304</x:v>
      </x:c>
      <x:c r="B96" s="2" t="str">
        <x:v>FANUC</x:v>
      </x:c>
      <x:c r="C96" s="2" t="str">
        <x:v>6954</x:v>
      </x:c>
      <x:c r="D96" s="20" t="n">
        <x:f>G81</x:f>
        <x:v>0.06704430190053146</x:v>
      </x:c>
      <x:c r="E96" s="22" t="n">
        <x:f>'Prices'!H108/'Prices'!G108-1</x:f>
        <x:v>0.01395580661239415</x:v>
      </x:c>
      <x:c r="F96" s="20" t="n">
        <x:f>D96*E96</x:f>
        <x:v>0.0009356573117867866</x:v>
      </x:c>
      <x:c r="G96" s="20" t="n">
        <x:f>D96*(1+E96)/(1+SUM($F$96:$F$110))</x:f>
        <x:v>0.06716321657035833</x:v>
      </x:c>
      <x:c r="H96" s="22" t="n">
        <x:f>'Prices'!H108/'Prices'!I108-1</x:f>
        <x:v>-0.0039170882976986565</x:v>
      </x:c>
    </x:row>
    <x:row r="97" ht="27" customHeight="1">
      <x:c r="A97" s="9" t="n">
        <x:v>46304</x:v>
      </x:c>
      <x:c r="B97" s="10" t="str">
        <x:v>Yaskawa Electric</x:v>
      </x:c>
      <x:c r="C97" s="10" t="str">
        <x:v>6506</x:v>
      </x:c>
      <x:c r="D97" s="21" t="n">
        <x:f>G82</x:f>
        <x:v>0.06839009650574954</x:v>
      </x:c>
      <x:c r="E97" s="23" t="n">
        <x:f>'Prices'!H109/'Prices'!G109-1</x:f>
        <x:v>-0.0012528711630820366</x:v>
      </x:c>
      <x:c r="F97" s="21" t="n">
        <x:f>D97*E97</x:f>
        <x:v>-0.00008568397975245115</x:v>
      </x:c>
      <x:c r="G97" s="21" t="n">
        <x:f>D97*(1+E97)/(1+SUM($F$96:$F$110))</x:f>
        <x:v>0.06748377175200419</x:v>
      </x:c>
      <x:c r="H97" s="23" t="n">
        <x:f>'Prices'!H109/'Prices'!I109-1</x:f>
        <x:v>0.0008369951872777559</x:v>
      </x:c>
    </x:row>
    <x:row r="98" ht="27" customHeight="1">
      <x:c r="A98" s="8" t="n">
        <x:v>46304</x:v>
      </x:c>
      <x:c r="B98" s="2" t="str">
        <x:v>Estun Automation</x:v>
      </x:c>
      <x:c r="C98" s="13" t="str">
        <x:v>002747</x:v>
      </x:c>
      <x:c r="D98" s="20" t="n">
        <x:f>G83</x:f>
        <x:v>0.06495826385486109</x:v>
      </x:c>
      <x:c r="E98" s="22" t="n">
        <x:f>'Prices'!H110/'Prices'!G110-1</x:f>
        <x:v>0.006701414743112366</x:v>
      </x:c>
      <x:c r="F98" s="20" t="n">
        <x:f>D98*E98</x:f>
        <x:v>0.00043531226708394923</x:v>
      </x:c>
      <x:c r="G98" s="20" t="n">
        <x:f>D98*(1+E98)/(1+SUM($F$96:$F$110))</x:f>
        <x:v>0.06460790748154129</x:v>
      </x:c>
      <x:c r="H98" s="22" t="n">
        <x:f>'Prices'!H110/'Prices'!I110-1</x:f>
        <x:v>-0.04181431608788089</x:v>
      </x:c>
    </x:row>
    <x:row r="99" ht="27" customHeight="1">
      <x:c r="A99" s="9" t="n">
        <x:v>46304</x:v>
      </x:c>
      <x:c r="B99" s="10" t="str">
        <x:v>Teradyne</x:v>
      </x:c>
      <x:c r="C99" s="10" t="str">
        <x:v>TER</x:v>
      </x:c>
      <x:c r="D99" s="21" t="n">
        <x:f>G84</x:f>
        <x:v>0.06544543980878394</x:v>
      </x:c>
      <x:c r="E99" s="23" t="n">
        <x:f>'Prices'!H111/'Prices'!G111-1</x:f>
        <x:v>0.009931781701444597</x:v>
      </x:c>
      <x:c r="F99" s="21" t="n">
        <x:f>D99*E99</x:f>
        <x:v>0.0006499898215358742</x:v>
      </x:c>
      <x:c r="G99" s="21" t="n">
        <x:f>D99*(1+E99)/(1+SUM($F$96:$F$110))</x:f>
        <x:v>0.06530132859755601</x:v>
      </x:c>
      <x:c r="H99" s="23" t="n">
        <x:f>'Prices'!H111/'Prices'!I111-1</x:f>
        <x:v>-0.031530339835012855</x:v>
      </x:c>
    </x:row>
    <x:row r="100" ht="27" customHeight="1">
      <x:c r="A100" s="8" t="n">
        <x:v>46304</x:v>
      </x:c>
      <x:c r="B100" s="2" t="str">
        <x:v>Nabtesco</x:v>
      </x:c>
      <x:c r="C100" s="2" t="str">
        <x:v>6268</x:v>
      </x:c>
      <x:c r="D100" s="20" t="n">
        <x:f>G85</x:f>
        <x:v>0.06577804119401282</x:v>
      </x:c>
      <x:c r="E100" s="22" t="n">
        <x:f>'Prices'!H112/'Prices'!G112-1</x:f>
        <x:v>0.013347236704901011</x:v>
      </x:c>
      <x:c r="F100" s="20" t="n">
        <x:f>D100*E100</x:f>
        <x:v>0.0008779550858012186</x:v>
      </x:c>
      <x:c r="G100" s="20" t="n">
        <x:f>D100*(1+E100)/(1+SUM($F$96:$F$110))</x:f>
        <x:v>0.06585516034029819</x:v>
      </x:c>
      <x:c r="H100" s="22" t="n">
        <x:f>'Prices'!H112/'Prices'!I112-1</x:f>
        <x:v>-0.023316582914572836</x:v>
      </x:c>
    </x:row>
    <x:row r="101" ht="27" customHeight="1">
      <x:c r="A101" s="9" t="n">
        <x:v>46304</x:v>
      </x:c>
      <x:c r="B101" s="10" t="str">
        <x:v>Inovance</x:v>
      </x:c>
      <x:c r="C101" s="10" t="str">
        <x:v>300124</x:v>
      </x:c>
      <x:c r="D101" s="21" t="n">
        <x:f>G86</x:f>
        <x:v>0.06555158767168619</x:v>
      </x:c>
      <x:c r="E101" s="23" t="n">
        <x:f>'Prices'!H113/'Prices'!G113-1</x:f>
        <x:v>0.014844533600802512</x:v>
      </x:c>
      <x:c r="F101" s="21" t="n">
        <x:f>D101*E101</x:f>
        <x:v>0.0009730827457782973</x:v>
      </x:c>
      <x:c r="G101" s="21" t="n">
        <x:f>D101*(1+E101)/(1+SUM($F$96:$F$110))</x:f>
        <x:v>0.06572541228754158</x:v>
      </x:c>
      <x:c r="H101" s="23" t="n">
        <x:f>'Prices'!H113/'Prices'!I113-1</x:f>
        <x:v>-0.025240847784200326</x:v>
      </x:c>
    </x:row>
    <x:row r="102" ht="27" customHeight="1">
      <x:c r="A102" s="8" t="n">
        <x:v>46304</x:v>
      </x:c>
      <x:c r="B102" s="2" t="str">
        <x:v>Keyence</x:v>
      </x:c>
      <x:c r="C102" s="2" t="str">
        <x:v>6861</x:v>
      </x:c>
      <x:c r="D102" s="20" t="n">
        <x:f>G87</x:f>
        <x:v>0.06723870923431403</x:v>
      </x:c>
      <x:c r="E102" s="22" t="n">
        <x:f>'Prices'!H114/'Prices'!G114-1</x:f>
        <x:v>0.006750000000000034</x:v>
      </x:c>
      <x:c r="F102" s="20" t="n">
        <x:f>D102*E102</x:f>
        <x:v>0.000453861287331622</x:v>
      </x:c>
      <x:c r="G102" s="20" t="n">
        <x:f>D102*(1+E102)/(1+SUM($F$96:$F$110))</x:f>
        <x:v>0.06687928070021122</x:v>
      </x:c>
      <x:c r="H102" s="22" t="n">
        <x:f>'Prices'!H114/'Prices'!I114-1</x:f>
        <x:v>-0.00812807881773403</x:v>
      </x:c>
    </x:row>
    <x:row r="103" ht="27" customHeight="1">
      <x:c r="A103" s="9" t="n">
        <x:v>46304</x:v>
      </x:c>
      <x:c r="B103" s="10" t="str">
        <x:v>Cognex</x:v>
      </x:c>
      <x:c r="C103" s="10" t="str">
        <x:v>CGNX</x:v>
      </x:c>
      <x:c r="D103" s="21" t="n">
        <x:f>G88</x:f>
        <x:v>0.06681038936280935</x:v>
      </x:c>
      <x:c r="E103" s="23" t="n">
        <x:f>'Prices'!H115/'Prices'!G115-1</x:f>
        <x:v>0.03299950747003777</x:v>
      </x:c>
      <x:c r="F103" s="21" t="n">
        <x:f>D103*E103</x:f>
        <x:v>0.002204709942854159</x:v>
      </x:c>
      <x:c r="G103" s="21" t="n">
        <x:f>D103*(1+E103)/(1+SUM($F$96:$F$110))</x:f>
        <x:v>0.0681859200123076</x:v>
      </x:c>
      <x:c r="H103" s="23" t="n">
        <x:f>'Prices'!H115/'Prices'!I115-1</x:f>
        <x:v>0.011250401800064314</x:v>
      </x:c>
    </x:row>
    <x:row r="104" ht="27" customHeight="1">
      <x:c r="A104" s="8" t="n">
        <x:v>46304</x:v>
      </x:c>
      <x:c r="B104" s="2" t="str">
        <x:v>Ouster</x:v>
      </x:c>
      <x:c r="C104" s="2" t="str">
        <x:v>OUST</x:v>
      </x:c>
      <x:c r="D104" s="20" t="n">
        <x:f>G89</x:f>
        <x:v>0.06600967381142453</x:v>
      </x:c>
      <x:c r="E104" s="22" t="n">
        <x:f>'Prices'!H116/'Prices'!G116-1</x:f>
        <x:v>0.009359979762205928</x:v>
      </x:c>
      <x:c r="F104" s="20" t="n">
        <x:f>D104*E104</x:f>
        <x:v>0.0006178492109847482</x:v>
      </x:c>
      <x:c r="G104" s="20" t="n">
        <x:f>D104*(1+E104)/(1+SUM($F$96:$F$110))</x:f>
        <x:v>0.06582702917376473</x:v>
      </x:c>
      <x:c r="H104" s="22" t="n">
        <x:f>'Prices'!H116/'Prices'!I116-1</x:f>
        <x:v>-0.023733790066063132</x:v>
      </x:c>
    </x:row>
    <x:row r="105" ht="27" customHeight="1">
      <x:c r="A105" s="9" t="n">
        <x:v>46304</x:v>
      </x:c>
      <x:c r="B105" s="10" t="str">
        <x:v>Hesai</x:v>
      </x:c>
      <x:c r="C105" s="10" t="str">
        <x:v>HSAI</x:v>
      </x:c>
      <x:c r="D105" s="21" t="n">
        <x:f>G90</x:f>
        <x:v>0.06687634619678949</x:v>
      </x:c>
      <x:c r="E105" s="23" t="n">
        <x:f>'Prices'!H117/'Prices'!G117-1</x:f>
        <x:v>0.02562459961563124</x:v>
      </x:c>
      <x:c r="F105" s="21" t="n">
        <x:f>D105*E105</x:f>
        <x:v>0.0017136795950490737</x:v>
      </x:c>
      <x:c r="G105" s="21" t="n">
        <x:f>D105*(1+E105)/(1+SUM($F$96:$F$110))</x:f>
        <x:v>0.0677659535280945</x:v>
      </x:c>
      <x:c r="H105" s="23" t="n">
        <x:f>'Prices'!H117/'Prices'!I117-1</x:f>
        <x:v>0.005021971123666091</x:v>
      </x:c>
    </x:row>
    <x:row r="106" ht="27" customHeight="1">
      <x:c r="A106" s="8" t="n">
        <x:v>46304</x:v>
      </x:c>
      <x:c r="B106" s="2" t="str">
        <x:v>Rockwell Automation</x:v>
      </x:c>
      <x:c r="C106" s="2" t="str">
        <x:v>ROK</x:v>
      </x:c>
      <x:c r="D106" s="20" t="n">
        <x:f>G91</x:f>
        <x:v>0.0669654840668773</x:v>
      </x:c>
      <x:c r="E106" s="22" t="n">
        <x:f>'Prices'!H118/'Prices'!G118-1</x:f>
        <x:v>-0.0035702768692127407</x:v>
      </x:c>
      <x:c r="F106" s="20" t="n">
        <x:f>D106*E106</x:f>
        <x:v>-0.00023908531879960636</x:v>
      </x:c>
      <x:c r="G106" s="20" t="n">
        <x:f>D106*(1+E106)/(1+SUM($F$96:$F$110))</x:f>
        <x:v>0.06592471696077676</x:v>
      </x:c>
      <x:c r="H106" s="22" t="n">
        <x:f>'Prices'!H118/'Prices'!I118-1</x:f>
        <x:v>-0.02228500395524924</x:v>
      </x:c>
    </x:row>
    <x:row r="107" ht="27" customHeight="1">
      <x:c r="A107" s="9" t="n">
        <x:v>46304</x:v>
      </x:c>
      <x:c r="B107" s="10" t="str">
        <x:v>Siemens</x:v>
      </x:c>
      <x:c r="C107" s="10" t="str">
        <x:v>SIE</x:v>
      </x:c>
      <x:c r="D107" s="21" t="n">
        <x:f>G92</x:f>
        <x:v>0.06632712890362265</x:v>
      </x:c>
      <x:c r="E107" s="23" t="n">
        <x:f>'Prices'!H119/'Prices'!G119-1</x:f>
        <x:v>0.0297067171239358</x:v>
      </x:c>
      <x:c r="F107" s="21" t="n">
        <x:f>D107*E107</x:f>
        <x:v>0.001970361255982744</x:v>
      </x:c>
      <x:c r="G107" s="21" t="n">
        <x:f>D107*(1+E107)/(1+SUM($F$96:$F$110))</x:f>
        <x:v>0.06747693255412099</x:v>
      </x:c>
      <x:c r="H107" s="23" t="n">
        <x:f>'Prices'!H119/'Prices'!I119-1</x:f>
        <x:v>0.000735564545789158</x:v>
      </x:c>
    </x:row>
    <x:row r="108" ht="27" customHeight="1">
      <x:c r="A108" s="8" t="n">
        <x:v>46304</x:v>
      </x:c>
      <x:c r="B108" s="2" t="str">
        <x:v>NXP Semiconductors</x:v>
      </x:c>
      <x:c r="C108" s="2" t="str">
        <x:v>NXPI</x:v>
      </x:c>
      <x:c r="D108" s="20" t="n">
        <x:f>G93</x:f>
        <x:v>0.06593043718765222</x:v>
      </x:c>
      <x:c r="E108" s="22" t="n">
        <x:f>'Prices'!H120/'Prices'!G120-1</x:f>
        <x:v>-0.015363309819535154</x:v>
      </x:c>
      <x:c r="F108" s="20" t="n">
        <x:f>D108*E108</x:f>
        <x:v>-0.001012909733051303</x:v>
      </x:c>
      <x:c r="G108" s="20" t="n">
        <x:f>D108*(1+E108)/(1+SUM($F$96:$F$110))</x:f>
        <x:v>0.06413757828285784</x:v>
      </x:c>
      <x:c r="H108" s="22" t="n">
        <x:f>'Prices'!H120/'Prices'!I120-1</x:f>
        <x:v>-0.048789665119779224</x:v>
      </x:c>
    </x:row>
    <x:row r="109" ht="27" customHeight="1">
      <x:c r="A109" s="9" t="n">
        <x:v>46304</x:v>
      </x:c>
      <x:c r="B109" s="10" t="str">
        <x:v>Daifuku</x:v>
      </x:c>
      <x:c r="C109" s="10" t="str">
        <x:v>6383</x:v>
      </x:c>
      <x:c r="D109" s="21" t="n">
        <x:f>G94</x:f>
        <x:v>0.06688983348989865</x:v>
      </x:c>
      <x:c r="E109" s="23" t="n">
        <x:f>'Prices'!H121/'Prices'!G121-1</x:f>
        <x:v>0.009972008397480803</x:v>
      </x:c>
      <x:c r="F109" s="21" t="n">
        <x:f>D109*E109</x:f>
        <x:v>0.0006670259812673619</x:v>
      </x:c>
      <x:c r="G109" s="21" t="n">
        <x:f>D109*(1+E109)/(1+SUM($F$96:$F$110))</x:f>
        <x:v>0.066745200145001</x:v>
      </x:c>
      <x:c r="H109" s="23" t="n">
        <x:f>'Prices'!H121/'Prices'!I121-1</x:f>
        <x:v>-0.010116598079561001</x:v>
      </x:c>
    </x:row>
    <x:row r="110" ht="27" customHeight="1">
      <x:c r="A110" s="8" t="n">
        <x:v>46304</x:v>
      </x:c>
      <x:c r="B110" s="2" t="str">
        <x:v>Hexagon</x:v>
      </x:c>
      <x:c r="C110" s="2" t="str">
        <x:v>HEXA B</x:v>
      </x:c>
      <x:c r="D110" s="20" t="n">
        <x:f>G95</x:f>
        <x:v>0.06978426681098678</x:v>
      </x:c>
      <x:c r="E110" s="22" t="n">
        <x:f>'Prices'!H122/'Prices'!G122-1</x:f>
        <x:v>0.028641975308641987</x:v>
      </x:c>
      <x:c r="F110" s="20" t="n">
        <x:f>D110*E110</x:f>
        <x:v>0.0019987592469319676</x:v>
      </x:c>
      <x:c r="G110" s="20" t="n">
        <x:f>D110*(1+E110)/(1+SUM($F$96:$F$110))</x:f>
        <x:v>0.07092059161356565</x:v>
      </x:c>
      <x:c r="H110" s="22" t="n">
        <x:f>'Prices'!H122/'Prices'!I122-1</x:f>
        <x:v>0.05180771561300768</x:v>
      </x:c>
    </x:row>
    <x:row r="111" ht="27" customHeight="1">
      <x:c r="A111" s="9" t="n">
        <x:v>46307</x:v>
      </x:c>
      <x:c r="B111" s="10" t="str">
        <x:v>FANUC</x:v>
      </x:c>
      <x:c r="C111" s="10" t="str">
        <x:v>6954</x:v>
      </x:c>
      <x:c r="D111" s="21" t="n">
        <x:f>G96</x:f>
        <x:v>0.06716321657035833</x:v>
      </x:c>
      <x:c r="E111" s="23" t="n">
        <x:f>'Prices'!H125/'Prices'!G125-1</x:f>
        <x:v>0</x:v>
      </x:c>
      <x:c r="F111" s="21" t="n">
        <x:f>D111*E111</x:f>
        <x:v>0</x:v>
      </x:c>
      <x:c r="G111" s="21" t="n">
        <x:f>D111*(1+E111)/(1+SUM($F$111:$F$125))</x:f>
        <x:v>0.06812527066625704</x:v>
      </x:c>
      <x:c r="H111" s="23" t="n">
        <x:f>'Prices'!H125/'Prices'!I125-1</x:f>
        <x:v>-0.0039170882976986565</x:v>
      </x:c>
    </x:row>
    <x:row r="112" ht="27" customHeight="1">
      <x:c r="A112" s="8" t="n">
        <x:v>46307</x:v>
      </x:c>
      <x:c r="B112" s="2" t="str">
        <x:v>Yaskawa Electric</x:v>
      </x:c>
      <x:c r="C112" s="2" t="str">
        <x:v>6506</x:v>
      </x:c>
      <x:c r="D112" s="20" t="n">
        <x:f>G97</x:f>
        <x:v>0.06748377175200419</x:v>
      </x:c>
      <x:c r="E112" s="22" t="n">
        <x:f>'Prices'!H126/'Prices'!G126-1</x:f>
        <x:v>0</x:v>
      </x:c>
      <x:c r="F112" s="20" t="n">
        <x:f>D112*E112</x:f>
        <x:v>0</x:v>
      </x:c>
      <x:c r="G112" s="20" t="n">
        <x:f>D112*(1+E112)/(1+SUM($F$111:$F$125))</x:f>
        <x:v>0.06845041751937446</x:v>
      </x:c>
      <x:c r="H112" s="22" t="n">
        <x:f>'Prices'!H126/'Prices'!I126-1</x:f>
        <x:v>0.0008369951872777559</x:v>
      </x:c>
    </x:row>
    <x:row r="113" ht="27" customHeight="1">
      <x:c r="A113" s="9" t="n">
        <x:v>46307</x:v>
      </x:c>
      <x:c r="B113" s="10" t="str">
        <x:v>Estun Automation</x:v>
      </x:c>
      <x:c r="C113" s="15" t="str">
        <x:v>002747</x:v>
      </x:c>
      <x:c r="D113" s="21" t="n">
        <x:f>G98</x:f>
        <x:v>0.06460790748154129</x:v>
      </x:c>
      <x:c r="E113" s="23" t="n">
        <x:f>'Prices'!H127/'Prices'!G127-1</x:f>
        <x:v>-0.03809171597633132</x:v>
      </x:c>
      <x:c r="F113" s="21" t="n">
        <x:f>D113*E113</x:f>
        <x:v>-0.002461026061611962</x:v>
      </x:c>
      <x:c r="G113" s="21" t="n">
        <x:f>D113*(1+E113)/(1+SUM($F$111:$F$125))</x:f>
        <x:v>0.06303708092004918</x:v>
      </x:c>
      <x:c r="H113" s="23" t="n">
        <x:f>'Prices'!H127/'Prices'!I127-1</x:f>
        <x:v>-0.07831325301204806</x:v>
      </x:c>
    </x:row>
    <x:row r="114" ht="27" customHeight="1">
      <x:c r="A114" s="8" t="n">
        <x:v>46307</x:v>
      </x:c>
      <x:c r="B114" s="2" t="str">
        <x:v>Teradyne</x:v>
      </x:c>
      <x:c r="C114" s="2" t="str">
        <x:v>TER</x:v>
      </x:c>
      <x:c r="D114" s="20" t="n">
        <x:f>G99</x:f>
        <x:v>0.06530132859755601</x:v>
      </x:c>
      <x:c r="E114" s="22" t="n">
        <x:f>'Prices'!H128/'Prices'!G128-1</x:f>
        <x:v>-0.0467616966325618</x:v>
      </x:c>
      <x:c r="F114" s="20" t="n">
        <x:f>D114*E114</x:f>
        <x:v>-0.0030536009175821466</x:v>
      </x:c>
      <x:c r="G114" s="20" t="n">
        <x:f>D114*(1+E114)/(1+SUM($F$111:$F$125))</x:f>
        <x:v>0.06313937171420758</x:v>
      </x:c>
      <x:c r="H114" s="22" t="n">
        <x:f>'Prices'!H128/'Prices'!I128-1</x:f>
        <x:v>-0.0768176242814882</x:v>
      </x:c>
    </x:row>
    <x:row r="115" ht="27" customHeight="1">
      <x:c r="A115" s="9" t="n">
        <x:v>46307</x:v>
      </x:c>
      <x:c r="B115" s="10" t="str">
        <x:v>Nabtesco</x:v>
      </x:c>
      <x:c r="C115" s="10" t="str">
        <x:v>6268</x:v>
      </x:c>
      <x:c r="D115" s="21" t="n">
        <x:f>G100</x:f>
        <x:v>0.06585516034029819</x:v>
      </x:c>
      <x:c r="E115" s="23" t="n">
        <x:f>'Prices'!H129/'Prices'!G129-1</x:f>
        <x:v>0</x:v>
      </x:c>
      <x:c r="F115" s="21" t="n">
        <x:f>D115*E115</x:f>
        <x:v>0</x:v>
      </x:c>
      <x:c r="G115" s="21" t="n">
        <x:f>D115*(1+E115)/(1+SUM($F$111:$F$125))</x:f>
        <x:v>0.06679847767941163</x:v>
      </x:c>
      <x:c r="H115" s="23" t="n">
        <x:f>'Prices'!H129/'Prices'!I129-1</x:f>
        <x:v>-0.023316582914572836</x:v>
      </x:c>
    </x:row>
    <x:row r="116" ht="27" customHeight="1">
      <x:c r="A116" s="8" t="n">
        <x:v>46307</x:v>
      </x:c>
      <x:c r="B116" s="2" t="str">
        <x:v>Inovance</x:v>
      </x:c>
      <x:c r="C116" s="2" t="str">
        <x:v>300124</x:v>
      </x:c>
      <x:c r="D116" s="20" t="n">
        <x:f>G101</x:f>
        <x:v>0.06572541228754158</x:v>
      </x:c>
      <x:c r="E116" s="22" t="n">
        <x:f>'Prices'!H130/'Prices'!G130-1</x:f>
        <x:v>-0.0027673453251630953</x:v>
      </x:c>
      <x:c r="F116" s="20" t="n">
        <x:f>D116*E116</x:f>
        <x:v>-0.00018188491243834525</x:v>
      </x:c>
      <x:c r="G116" s="20" t="n">
        <x:f>D116*(1+E116)/(1+SUM($F$111:$F$125))</x:f>
        <x:v>0.06648238084566048</x:v>
      </x:c>
      <x:c r="H116" s="22" t="n">
        <x:f>'Prices'!H130/'Prices'!I130-1</x:f>
        <x:v>-0.027938342967244623</x:v>
      </x:c>
    </x:row>
    <x:row r="117" ht="27" customHeight="1">
      <x:c r="A117" s="9" t="n">
        <x:v>46307</x:v>
      </x:c>
      <x:c r="B117" s="10" t="str">
        <x:v>Keyence</x:v>
      </x:c>
      <x:c r="C117" s="10" t="str">
        <x:v>6861</x:v>
      </x:c>
      <x:c r="D117" s="21" t="n">
        <x:f>G102</x:f>
        <x:v>0.06687928070021122</x:v>
      </x:c>
      <x:c r="E117" s="23" t="n">
        <x:f>'Prices'!H131/'Prices'!G131-1</x:f>
        <x:v>0</x:v>
      </x:c>
      <x:c r="F117" s="21" t="n">
        <x:f>D117*E117</x:f>
        <x:v>0</x:v>
      </x:c>
      <x:c r="G117" s="21" t="n">
        <x:f>D117*(1+E117)/(1+SUM($F$111:$F$125))</x:f>
        <x:v>0.06783726766411721</x:v>
      </x:c>
      <x:c r="H117" s="23" t="n">
        <x:f>'Prices'!H131/'Prices'!I131-1</x:f>
        <x:v>-0.00812807881773403</x:v>
      </x:c>
    </x:row>
    <x:row r="118" ht="27" customHeight="1">
      <x:c r="A118" s="8" t="n">
        <x:v>46307</x:v>
      </x:c>
      <x:c r="B118" s="2" t="str">
        <x:v>Cognex</x:v>
      </x:c>
      <x:c r="C118" s="2" t="str">
        <x:v>CGNX</x:v>
      </x:c>
      <x:c r="D118" s="20" t="n">
        <x:f>G103</x:f>
        <x:v>0.0681859200123076</x:v>
      </x:c>
      <x:c r="E118" s="22" t="n">
        <x:f>'Prices'!H132/'Prices'!G132-1</x:f>
        <x:v>-0.0174825174825175</x:v>
      </x:c>
      <x:c r="F118" s="20" t="n">
        <x:f>D118*E118</x:f>
        <x:v>-0.0011920615386767075</x:v>
      </x:c>
      <x:c r="G118" s="20" t="n">
        <x:f>D118*(1+E118)/(1+SUM($F$111:$F$125))</x:f>
        <x:v>0.06795348666352108</x:v>
      </x:c>
      <x:c r="H118" s="22" t="n">
        <x:f>'Prices'!H132/'Prices'!I132-1</x:f>
        <x:v>-0.0064288010286081</x:v>
      </x:c>
    </x:row>
    <x:row r="119" ht="27" customHeight="1">
      <x:c r="A119" s="9" t="n">
        <x:v>46307</x:v>
      </x:c>
      <x:c r="B119" s="10" t="str">
        <x:v>Ouster</x:v>
      </x:c>
      <x:c r="C119" s="10" t="str">
        <x:v>OUST</x:v>
      </x:c>
      <x:c r="D119" s="21" t="n">
        <x:f>G104</x:f>
        <x:v>0.06582702917376473</x:v>
      </x:c>
      <x:c r="E119" s="23" t="n">
        <x:f>'Prices'!H133/'Prices'!G133-1</x:f>
        <x:v>-0.06591478696741848</x:v>
      </x:c>
      <x:c r="F119" s="21" t="n">
        <x:f>D119*E119</x:f>
        <x:v>-0.004338974604686744</x:v>
      </x:c>
      <x:c r="G119" s="21" t="n">
        <x:f>D119*(1+E119)/(1+SUM($F$111:$F$125))</x:f>
        <x:v>0.062368816953128736</x:v>
      </x:c>
      <x:c r="H119" s="23" t="n">
        <x:f>'Prices'!H133/'Prices'!I133-1</x:f>
        <x:v>-0.08808416931734753</x:v>
      </x:c>
    </x:row>
    <x:row r="120" ht="27" customHeight="1">
      <x:c r="A120" s="8" t="n">
        <x:v>46307</x:v>
      </x:c>
      <x:c r="B120" s="2" t="str">
        <x:v>Hesai</x:v>
      </x:c>
      <x:c r="C120" s="2" t="str">
        <x:v>HSAI</x:v>
      </x:c>
      <x:c r="D120" s="20" t="n">
        <x:f>G105</x:f>
        <x:v>0.0677659535280945</x:v>
      </x:c>
      <x:c r="E120" s="22" t="n">
        <x:f>'Prices'!H134/'Prices'!G134-1</x:f>
        <x:v>-0.055590256089943946</x:v>
      </x:c>
      <x:c r="F120" s="20" t="n">
        <x:f>D120*E120</x:f>
        <x:v>-0.003767126710806014</x:v>
      </x:c>
      <x:c r="G120" s="20" t="n">
        <x:f>D120*(1+E120)/(1+SUM($F$111:$F$125))</x:f>
        <x:v>0.06491555380888196</x:v>
      </x:c>
      <x:c r="H120" s="22" t="n">
        <x:f>'Prices'!H134/'Prices'!I134-1</x:f>
        <x:v>-0.05084745762711873</x:v>
      </x:c>
    </x:row>
    <x:row r="121" ht="27" customHeight="1">
      <x:c r="A121" s="9" t="n">
        <x:v>46307</x:v>
      </x:c>
      <x:c r="B121" s="10" t="str">
        <x:v>Rockwell Automation</x:v>
      </x:c>
      <x:c r="C121" s="10" t="str">
        <x:v>ROK</x:v>
      </x:c>
      <x:c r="D121" s="21" t="n">
        <x:f>G106</x:f>
        <x:v>0.06592471696077676</x:v>
      </x:c>
      <x:c r="E121" s="23" t="n">
        <x:f>'Prices'!H135/'Prices'!G135-1</x:f>
        <x:v>0.0031900876118264865</x:v>
      </x:c>
      <x:c r="F121" s="21" t="n">
        <x:f>D121*E121</x:f>
        <x:v>0.0002103056228897414</x:v>
      </x:c>
      <x:c r="G121" s="21" t="n">
        <x:f>D121*(1+E121)/(1+SUM($F$111:$F$125))</x:f>
        <x:v>0.06708234870364645</x:v>
      </x:c>
      <x:c r="H121" s="23" t="n">
        <x:f>'Prices'!H135/'Prices'!I135-1</x:f>
        <x:v>-0.019166007458469747</x:v>
      </x:c>
    </x:row>
    <x:row r="122" ht="27" customHeight="1">
      <x:c r="A122" s="8" t="n">
        <x:v>46307</x:v>
      </x:c>
      <x:c r="B122" s="2" t="str">
        <x:v>Siemens</x:v>
      </x:c>
      <x:c r="C122" s="2" t="str">
        <x:v>SIE</x:v>
      </x:c>
      <x:c r="D122" s="20" t="n">
        <x:f>G107</x:f>
        <x:v>0.06747693255412099</x:v>
      </x:c>
      <x:c r="E122" s="22" t="n">
        <x:f>'Prices'!H136/'Prices'!G136-1</x:f>
        <x:v>0.013414185961043712</x:v>
      </x:c>
      <x:c r="F122" s="20" t="n">
        <x:f>D122*E122</x:f>
        <x:v>0.0009051481213617832</x:v>
      </x:c>
      <x:c r="G122" s="20" t="n">
        <x:f>D122*(1+E122)/(1+SUM($F$111:$F$125))</x:f>
        <x:v>0.06936159392930391</x:v>
      </x:c>
      <x:c r="H122" s="22" t="n">
        <x:f>'Prices'!H136/'Prices'!I136-1</x:f>
        <x:v>0.01415961750643624</x:v>
      </x:c>
    </x:row>
    <x:row r="123" ht="27" customHeight="1">
      <x:c r="A123" s="9" t="n">
        <x:v>46307</x:v>
      </x:c>
      <x:c r="B123" s="10" t="str">
        <x:v>NXP Semiconductors</x:v>
      </x:c>
      <x:c r="C123" s="10" t="str">
        <x:v>NXPI</x:v>
      </x:c>
      <x:c r="D123" s="21" t="n">
        <x:f>G108</x:f>
        <x:v>0.06413757828285784</x:v>
      </x:c>
      <x:c r="E123" s="23" t="n">
        <x:f>'Prices'!H137/'Prices'!G137-1</x:f>
        <x:v>-0.010152953586497926</x:v>
      </x:c>
      <x:c r="F123" s="21" t="n">
        <x:f>D123*E123</x:f>
        <x:v>-0.000651185855456233</x:v>
      </x:c>
      <x:c r="G123" s="21" t="n">
        <x:f>D123*(1+E123)/(1+SUM($F$111:$F$125))</x:f>
        <x:v>0.06439577924637016</x:v>
      </x:c>
      <x:c r="H123" s="23" t="n">
        <x:f>'Prices'!H137/'Prices'!I137-1</x:f>
        <x:v>-0.058447259500815196</x:v>
      </x:c>
    </x:row>
    <x:row r="124" ht="27" customHeight="1">
      <x:c r="A124" s="8" t="n">
        <x:v>46307</x:v>
      </x:c>
      <x:c r="B124" s="2" t="str">
        <x:v>Daifuku</x:v>
      </x:c>
      <x:c r="C124" s="2" t="str">
        <x:v>6383</x:v>
      </x:c>
      <x:c r="D124" s="20" t="n">
        <x:f>G109</x:f>
        <x:v>0.066745200145001</x:v>
      </x:c>
      <x:c r="E124" s="22" t="n">
        <x:f>'Prices'!H138/'Prices'!G138-1</x:f>
        <x:v>0</x:v>
      </x:c>
      <x:c r="F124" s="20" t="n">
        <x:f>D124*E124</x:f>
        <x:v>0</x:v>
      </x:c>
      <x:c r="G124" s="20" t="n">
        <x:f>D124*(1+E124)/(1+SUM($F$111:$F$125))</x:f>
        <x:v>0.06770126652270063</x:v>
      </x:c>
      <x:c r="H124" s="22" t="n">
        <x:f>'Prices'!H138/'Prices'!I138-1</x:f>
        <x:v>-0.010116598079561001</x:v>
      </x:c>
    </x:row>
    <x:row r="125" ht="27" customHeight="1">
      <x:c r="A125" s="9" t="n">
        <x:v>46307</x:v>
      </x:c>
      <x:c r="B125" s="10" t="str">
        <x:v>Hexagon</x:v>
      </x:c>
      <x:c r="C125" s="10" t="str">
        <x:v>HEXA B</x:v>
      </x:c>
      <x:c r="D125" s="21" t="n">
        <x:f>G110</x:f>
        <x:v>0.07092059161356565</x:v>
      </x:c>
      <x:c r="E125" s="23" t="n">
        <x:f>'Prices'!H139/'Prices'!G139-1</x:f>
        <x:v>0.005760921747479442</x:v>
      </x:c>
      <x:c r="F125" s="21" t="n">
        <x:f>D125*E125</x:f>
        <x:v>0.00040856797857069847</x:v>
      </x:c>
      <x:c r="G125" s="21" t="n">
        <x:f>D125*(1+E125)/(1+SUM($F$111:$F$125))</x:f>
        <x:v>0.07235088716336933</x:v>
      </x:c>
      <x:c r="H125" s="23" t="n">
        <x:f>'Prices'!H139/'Prices'!I139-1</x:f>
        <x:v>0.05786709755604935</x:v>
      </x:c>
    </x:row>
    <x:row r="126" ht="27" customHeight="1">
      <x:c r="A126" s="8" t="n">
        <x:v>46308</x:v>
      </x:c>
      <x:c r="B126" s="2" t="str">
        <x:v>FANUC</x:v>
      </x:c>
      <x:c r="C126" s="2" t="str">
        <x:v>6954</x:v>
      </x:c>
      <x:c r="D126" s="20" t="n">
        <x:f>G111</x:f>
        <x:v>0.06812527066625704</x:v>
      </x:c>
      <x:c r="E126" s="22" t="n">
        <x:f>'Prices'!H142/'Prices'!G142-1</x:f>
        <x:v>0.014582991971161752</x:v>
      </x:c>
      <x:c r="F126" s="20" t="n">
        <x:f>D126*E126</x:f>
        <x:v>0.0009934702751592476</x:v>
      </x:c>
      <x:c r="G126" s="20" t="n">
        <x:f>D126*(1+E126)/(1+SUM($F$126:$F$140))</x:f>
        <x:v>0.06962702178517538</x:v>
      </x:c>
      <x:c r="H126" s="22" t="n">
        <x:f>'Prices'!H142/'Prices'!I142-1</x:f>
        <x:v>0.01060878080626737</x:v>
      </x:c>
    </x:row>
    <x:row r="127" ht="27" customHeight="1">
      <x:c r="A127" s="9" t="n">
        <x:v>46308</x:v>
      </x:c>
      <x:c r="B127" s="10" t="str">
        <x:v>Yaskawa Electric</x:v>
      </x:c>
      <x:c r="C127" s="10" t="str">
        <x:v>6506</x:v>
      </x:c>
      <x:c r="D127" s="21" t="n">
        <x:f>G112</x:f>
        <x:v>0.06845041751937446</x:v>
      </x:c>
      <x:c r="E127" s="23" t="n">
        <x:f>'Prices'!H143/'Prices'!G143-1</x:f>
        <x:v>0.011917206773991218</x:v>
      </x:c>
      <x:c r="F127" s="21" t="n">
        <x:f>D127*E127</x:f>
        <x:v>0.0008157377793444164</x:v>
      </x:c>
      <x:c r="G127" s="21" t="n">
        <x:f>D127*(1+E127)/(1+SUM($F$126:$F$140))</x:f>
        <x:v>0.06977552018846739</x:v>
      </x:c>
      <x:c r="H127" s="23" t="n">
        <x:f>'Prices'!H143/'Prices'!I143-1</x:f>
        <x:v>0.0127641766059845</x:v>
      </x:c>
    </x:row>
    <x:row r="128" ht="27" customHeight="1">
      <x:c r="A128" s="8" t="n">
        <x:v>46308</x:v>
      </x:c>
      <x:c r="B128" s="2" t="str">
        <x:v>Estun Automation</x:v>
      </x:c>
      <x:c r="C128" s="13" t="str">
        <x:v>002747</x:v>
      </x:c>
      <x:c r="D128" s="20" t="n">
        <x:f>G113</x:f>
        <x:v>0.06303708092004918</x:v>
      </x:c>
      <x:c r="E128" s="22" t="n">
        <x:f>'Prices'!H144/'Prices'!G144-1</x:f>
        <x:v>-0.00499807766243765</x:v>
      </x:c>
      <x:c r="F128" s="20" t="n">
        <x:f>D128*E128</x:f>
        <x:v>-0.0003150642260517724</x:v>
      </x:c>
      <x:c r="G128" s="20" t="n">
        <x:f>D128*(1+E128)/(1+SUM($F$126:$F$140))</x:f>
        <x:v>0.06318325772838658</x:v>
      </x:c>
      <x:c r="H128" s="22" t="n">
        <x:f>'Prices'!H144/'Prices'!I144-1</x:f>
        <x:v>-0.08291991495393336</x:v>
      </x:c>
    </x:row>
    <x:row r="129" ht="27" customHeight="1">
      <x:c r="A129" s="9" t="n">
        <x:v>46308</x:v>
      </x:c>
      <x:c r="B129" s="10" t="str">
        <x:v>Teradyne</x:v>
      </x:c>
      <x:c r="C129" s="10" t="str">
        <x:v>TER</x:v>
      </x:c>
      <x:c r="D129" s="21" t="n">
        <x:f>G114</x:f>
        <x:v>0.06313937171420758</x:v>
      </x:c>
      <x:c r="E129" s="23" t="n">
        <x:f>'Prices'!H145/'Prices'!G145-1</x:f>
        <x:v>-0.009274456167773892</x:v>
      </x:c>
      <x:c r="F129" s="21" t="n">
        <x:f>D129*E129</x:f>
        <x:v>-0.000585583335424201</x:v>
      </x:c>
      <x:c r="G129" s="21" t="n">
        <x:f>D129*(1+E129)/(1+SUM($F$126:$F$140))</x:f>
        <x:v>0.06301379230687061</x:v>
      </x:c>
      <x:c r="H129" s="23" t="n">
        <x:f>'Prices'!H145/'Prices'!I145-1</x:f>
        <x:v>-0.08537963875995092</x:v>
      </x:c>
    </x:row>
    <x:row r="130" ht="27" customHeight="1">
      <x:c r="A130" s="8" t="n">
        <x:v>46308</x:v>
      </x:c>
      <x:c r="B130" s="2" t="str">
        <x:v>Nabtesco</x:v>
      </x:c>
      <x:c r="C130" s="2" t="str">
        <x:v>6268</x:v>
      </x:c>
      <x:c r="D130" s="20" t="n">
        <x:f>G115</x:f>
        <x:v>0.06679847767941163</x:v>
      </x:c>
      <x:c r="E130" s="22" t="n">
        <x:f>'Prices'!H146/'Prices'!G146-1</x:f>
        <x:v>0.0006174109899155233</x:v>
      </x:c>
      <x:c r="F130" s="20" t="n">
        <x:f>D130*E130</x:f>
        <x:v>0.000041242114228895524</x:v>
      </x:c>
      <x:c r="G130" s="20" t="n">
        <x:f>D130*(1+E130)/(1+SUM($F$126:$F$140))</x:f>
        <x:v>0.06733124132181952</x:v>
      </x:c>
      <x:c r="H130" s="22" t="n">
        <x:f>'Prices'!H146/'Prices'!I146-1</x:f>
        <x:v>-0.02271356783919598</x:v>
      </x:c>
    </x:row>
    <x:row r="131" ht="27" customHeight="1">
      <x:c r="A131" s="9" t="n">
        <x:v>46308</x:v>
      </x:c>
      <x:c r="B131" s="10" t="str">
        <x:v>Inovance</x:v>
      </x:c>
      <x:c r="C131" s="10" t="str">
        <x:v>300124</x:v>
      </x:c>
      <x:c r="D131" s="21" t="n">
        <x:f>G116</x:f>
        <x:v>0.06648238084566048</x:v>
      </x:c>
      <x:c r="E131" s="23" t="n">
        <x:f>'Prices'!H147/'Prices'!G147-1</x:f>
        <x:v>0.008721506442021854</x:v>
      </x:c>
      <x:c r="F131" s="21" t="n">
        <x:f>D131*E131</x:f>
        <x:v>0.0005798265128263781</x:v>
      </x:c>
      <x:c r="G131" s="21" t="n">
        <x:f>D131*(1+E131)/(1+SUM($F$126:$F$140))</x:f>
        <x:v>0.06755536500106327</x:v>
      </x:c>
      <x:c r="H131" s="23" t="n">
        <x:f>'Prices'!H147/'Prices'!I147-1</x:f>
        <x:v>-0.019460500963391136</x:v>
      </x:c>
    </x:row>
    <x:row r="132" ht="27" customHeight="1">
      <x:c r="A132" s="8" t="n">
        <x:v>46308</x:v>
      </x:c>
      <x:c r="B132" s="2" t="str">
        <x:v>Keyence</x:v>
      </x:c>
      <x:c r="C132" s="2" t="str">
        <x:v>6861</x:v>
      </x:c>
      <x:c r="D132" s="20" t="n">
        <x:f>G117</x:f>
        <x:v>0.06783726766411721</x:v>
      </x:c>
      <x:c r="E132" s="22" t="n">
        <x:f>'Prices'!H148/'Prices'!G148-1</x:f>
        <x:v>-0.009560466848770766</x:v>
      </x:c>
      <x:c r="F132" s="20" t="n">
        <x:f>D132*E132</x:f>
        <x:v>-0.0006485559486139816</x:v>
      </x:c>
      <x:c r="G132" s="20" t="n">
        <x:f>D132*(1+E132)/(1+SUM($F$126:$F$140))</x:f>
        <x:v>0.06768279963748645</x:v>
      </x:c>
      <x:c r="H132" s="22" t="n">
        <x:f>'Prices'!H148/'Prices'!I148-1</x:f>
        <x:v>-0.01761083743842362</x:v>
      </x:c>
    </x:row>
    <x:row r="133" ht="27" customHeight="1">
      <x:c r="A133" s="9" t="n">
        <x:v>46308</x:v>
      </x:c>
      <x:c r="B133" s="10" t="str">
        <x:v>Cognex</x:v>
      </x:c>
      <x:c r="C133" s="10" t="str">
        <x:v>CGNX</x:v>
      </x:c>
      <x:c r="D133" s="21" t="n">
        <x:f>G118</x:f>
        <x:v>0.06795348666352108</x:v>
      </x:c>
      <x:c r="E133" s="23" t="n">
        <x:f>'Prices'!H149/'Prices'!G149-1</x:f>
        <x:v>-0.02927855063086382</x:v>
      </x:c>
      <x:c r="F133" s="21" t="n">
        <x:f>D133*E133</x:f>
        <x:v>-0.001989579599821631</x:v>
      </x:c>
      <x:c r="G133" s="21" t="n">
        <x:f>D133*(1+E133)/(1+SUM($F$126:$F$140))</x:f>
        <x:v>0.06644898809792142</x:v>
      </x:c>
      <x:c r="H133" s="23" t="n">
        <x:f>'Prices'!H149/'Prices'!I149-1</x:f>
        <x:v>-0.03551912568306015</x:v>
      </x:c>
    </x:row>
    <x:row r="134" ht="27" customHeight="1">
      <x:c r="A134" s="8" t="n">
        <x:v>46308</x:v>
      </x:c>
      <x:c r="B134" s="2" t="str">
        <x:v>Ouster</x:v>
      </x:c>
      <x:c r="C134" s="2" t="str">
        <x:v>OUST</x:v>
      </x:c>
      <x:c r="D134" s="20" t="n">
        <x:f>G119</x:f>
        <x:v>0.062368816953128736</x:v>
      </x:c>
      <x:c r="E134" s="22" t="n">
        <x:f>'Prices'!H150/'Prices'!G150-1</x:f>
        <x:v>-0.052052589213845035</x:v>
      </x:c>
      <x:c r="F134" s="20" t="n">
        <x:f>D134*E134</x:f>
        <x:v>-0.0032464584086147044</x:v>
      </x:c>
      <x:c r="G134" s="20" t="n">
        <x:f>D134*(1+E134)/(1+SUM($F$126:$F$140))</x:f>
        <x:v>0.05955712864994033</x:v>
      </x:c>
      <x:c r="H134" s="22" t="n">
        <x:f>'Prices'!H150/'Prices'!I150-1</x:f>
        <x:v>-0.1355517494494739</x:v>
      </x:c>
    </x:row>
    <x:row r="135" ht="27" customHeight="1">
      <x:c r="A135" s="9" t="n">
        <x:v>46308</x:v>
      </x:c>
      <x:c r="B135" s="10" t="str">
        <x:v>Hesai</x:v>
      </x:c>
      <x:c r="C135" s="10" t="str">
        <x:v>HSAI</x:v>
      </x:c>
      <x:c r="D135" s="21" t="n">
        <x:f>G120</x:f>
        <x:v>0.06491555380888196</x:v>
      </x:c>
      <x:c r="E135" s="23" t="n">
        <x:f>'Prices'!H151/'Prices'!G151-1</x:f>
        <x:v>-0.043650793650793496</x:v>
      </x:c>
      <x:c r="F135" s="21" t="n">
        <x:f>D135*E135</x:f>
        <x:v>-0.002833615444038488</x:v>
      </x:c>
      <x:c r="G135" s="21" t="n">
        <x:f>D135*(1+E135)/(1+SUM($F$126:$F$140))</x:f>
        <x:v>0.06253847243338254</x:v>
      </x:c>
      <x:c r="H135" s="23" t="n">
        <x:f>'Prices'!H151/'Prices'!I151-1</x:f>
        <x:v>-0.09227871939736343</x:v>
      </x:c>
    </x:row>
    <x:row r="136" ht="27" customHeight="1">
      <x:c r="A136" s="8" t="n">
        <x:v>46308</x:v>
      </x:c>
      <x:c r="B136" s="2" t="str">
        <x:v>Rockwell Automation</x:v>
      </x:c>
      <x:c r="C136" s="2" t="str">
        <x:v>ROK</x:v>
      </x:c>
      <x:c r="D136" s="20" t="n">
        <x:f>G121</x:f>
        <x:v>0.06708234870364645</x:v>
      </x:c>
      <x:c r="E136" s="22" t="n">
        <x:f>'Prices'!H152/'Prices'!G152-1</x:f>
        <x:v>-0.0038712353388483667</x:v>
      </x:c>
      <x:c r="F136" s="20" t="n">
        <x:f>D136*E136</x:f>
        <x:v>-0.00025969155891450505</x:v>
      </x:c>
      <x:c r="G136" s="20" t="n">
        <x:f>D136*(1+E136)/(1+SUM($F$126:$F$140))</x:f>
        <x:v>0.06731405319872744</x:v>
      </x:c>
      <x:c r="H136" s="22" t="n">
        <x:f>'Prices'!H152/'Prices'!I152-1</x:f>
        <x:v>-0.022963046671940268</x:v>
      </x:c>
    </x:row>
    <x:row r="137" ht="27" customHeight="1">
      <x:c r="A137" s="9" t="n">
        <x:v>46308</x:v>
      </x:c>
      <x:c r="B137" s="10" t="str">
        <x:v>Siemens</x:v>
      </x:c>
      <x:c r="C137" s="10" t="str">
        <x:v>SIE</x:v>
      </x:c>
      <x:c r="D137" s="21" t="n">
        <x:f>G122</x:f>
        <x:v>0.06936159392930391</x:v>
      </x:c>
      <x:c r="E137" s="23" t="n">
        <x:f>'Prices'!H153/'Prices'!G153-1</x:f>
        <x:v>-0.004533091568449721</x:v>
      </x:c>
      <x:c r="F137" s="21" t="n">
        <x:f>D137*E137</x:f>
        <x:v>-0.0003144224566151609</x:v>
      </x:c>
      <x:c r="G137" s="21" t="n">
        <x:f>D137*(1+E137)/(1+SUM($F$126:$F$140))</x:f>
        <x:v>0.06955492601360354</x:v>
      </x:c>
      <x:c r="H137" s="23" t="n">
        <x:f>'Prices'!H153/'Prices'!I153-1</x:f>
        <x:v>0.009562339095255723</x:v>
      </x:c>
    </x:row>
    <x:row r="138" ht="27" customHeight="1">
      <x:c r="A138" s="8" t="n">
        <x:v>46308</x:v>
      </x:c>
      <x:c r="B138" s="2" t="str">
        <x:v>NXP Semiconductors</x:v>
      </x:c>
      <x:c r="C138" s="2" t="str">
        <x:v>NXPI</x:v>
      </x:c>
      <x:c r="D138" s="20" t="n">
        <x:f>G123</x:f>
        <x:v>0.06439577924637016</x:v>
      </x:c>
      <x:c r="E138" s="22" t="n">
        <x:f>'Prices'!H154/'Prices'!G154-1</x:f>
        <x:v>0.0049287331823630876</x:v>
      </x:c>
      <x:c r="F138" s="20" t="n">
        <x:f>D138*E138</x:f>
        <x:v>0.0003173896139757129</x:v>
      </x:c>
      <x:c r="G138" s="20" t="n">
        <x:f>D138*(1+E138)/(1+SUM($F$126:$F$140))</x:f>
        <x:v>0.06518905229836365</x:v>
      </x:c>
      <x:c r="H138" s="22" t="n">
        <x:f>'Prices'!H154/'Prices'!I154-1</x:f>
        <x:v>-0.05380659726577197</x:v>
      </x:c>
    </x:row>
    <x:row r="139" ht="27" customHeight="1">
      <x:c r="A139" s="9" t="n">
        <x:v>46308</x:v>
      </x:c>
      <x:c r="B139" s="10" t="str">
        <x:v>Daifuku</x:v>
      </x:c>
      <x:c r="C139" s="10" t="str">
        <x:v>6383</x:v>
      </x:c>
      <x:c r="D139" s="21" t="n">
        <x:f>G124</x:f>
        <x:v>0.06770126652270063</x:v>
      </x:c>
      <x:c r="E139" s="23" t="n">
        <x:f>'Prices'!H155/'Prices'!G155-1</x:f>
        <x:v>0.0057162653732893975</x:v>
      </x:c>
      <x:c r="F139" s="21" t="n">
        <x:f>D139*E139</x:f>
        <x:v>0.0003869984055515503</x:v>
      </x:c>
      <x:c r="G139" s="21" t="n">
        <x:f>D139*(1+E139)/(1+SUM($F$126:$F$140))</x:f>
        <x:v>0.06858896792539093</x:v>
      </x:c>
      <x:c r="H139" s="23" t="n">
        <x:f>'Prices'!H155/'Prices'!I155-1</x:f>
        <x:v>-0.004458161865569243</x:v>
      </x:c>
    </x:row>
    <x:row r="140" ht="27" customHeight="1">
      <x:c r="A140" s="8" t="n">
        <x:v>46308</x:v>
      </x:c>
      <x:c r="B140" s="2" t="str">
        <x:v>Hexagon</x:v>
      </x:c>
      <x:c r="C140" s="2" t="str">
        <x:v>HEXA B</x:v>
      </x:c>
      <x:c r="D140" s="20" t="n">
        <x:f>G125</x:f>
        <x:v>0.07235088716336933</x:v>
      </x:c>
      <x:c r="E140" s="22" t="n">
        <x:f>'Prices'!H156/'Prices'!G156-1</x:f>
        <x:v>-0.003341288782816143</x:v>
      </x:c>
      <x:c r="F140" s="20" t="n">
        <x:f>D140*E140</x:f>
        <x:v>-0.00024174520770576244</x:v>
      </x:c>
      <x:c r="G140" s="20" t="n">
        <x:f>D140*(1+E140)/(1+SUM($F$126:$F$140))</x:f>
        <x:v>0.07263941341340083</x:v>
      </x:c>
      <x:c r="H140" s="22" t="n">
        <x:f>'Prices'!H156/'Prices'!I156-1</x:f>
        <x:v>0.054332458089275004</x:v>
      </x:c>
    </x:row>
  </x:sheetData>
  <x:mergeCells>
    <x:mergeCell ref="A2:D2"/>
    <x:mergeCell ref="A3:H3"/>
  </x:mergeCells>
  <x:pageMargins left="0.7" right="0.7" top="0.75" bottom="0.75" header="0.3" footer="0.3"/>
  <x:tableParts count="1">
    <x:tablePart xmlns:r="http://schemas.openxmlformats.org/officeDocument/2006/relationships" r:id="R20a5b59a3f8e460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8" hidden="0" customWidth="1"/>
    <x:col min="4" max="4" width="18" hidden="0" customWidth="1"/>
    <x:col min="5" max="5" width="14" hidden="0" customWidth="1"/>
    <x:col min="6" max="6" width="13" hidden="0" customWidth="1"/>
    <x:col min="7" max="7" width="14" hidden="0" customWidth="1"/>
    <x:col min="8" max="8" width="14" hidden="0" customWidth="1"/>
    <x:col min="9" max="9" width="24" hidden="0" customWidth="1"/>
    <x:col min="10" max="10" width="60" hidden="0" customWidth="1"/>
    <x:col min="11" max="11" width="60" hidden="0" customWidth="1"/>
    <x:col min="12" max="12" width="25" hidden="0" customWidth="1"/>
    <x:col min="13" max="13" width="56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7" customHeight="1">
      <x:c r="A2" s="3" t="str">
        <x:v>Marketstack source history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7" customHeight="1">
      <x:c r="A3" s="4" t="str">
        <x:v>Raw receipts are immutable. Closed-market rows retain the date and evidence for their earlier source close.</x:v>
      </x:c>
      <x:c r="B3" s="4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6" customHeight="1">
      <x:c r="A5" s="7" t="str">
        <x:v>Date</x:v>
      </x:c>
      <x:c r="B5" s="7" t="str">
        <x:v>Ticker</x:v>
      </x:c>
      <x:c r="C5" s="7" t="str">
        <x:v>Raw close</x:v>
      </x:c>
      <x:c r="D5" s="7" t="str">
        <x:v>Adjusted close</x:v>
      </x:c>
      <x:c r="E5" s="7" t="str">
        <x:v>Dividend</x:v>
      </x:c>
      <x:c r="F5" s="7" t="str">
        <x:v>Split factor</x:v>
      </x:c>
      <x:c r="G5" s="7" t="str">
        <x:v>Expected MIC</x:v>
      </x:c>
      <x:c r="H5" s="7" t="str">
        <x:v>Received MIC</x:v>
      </x:c>
      <x:c r="I5" s="7" t="str">
        <x:v>Validation</x:v>
      </x:c>
      <x:c r="J5" s="7" t="str">
        <x:v>Raw receipt</x:v>
      </x:c>
      <x:c r="K5" s="7" t="str">
        <x:v>Exchange calendar</x:v>
      </x:c>
      <x:c r="L5" s="7" t="str">
        <x:v>Fetched at (UTC)</x:v>
      </x:c>
      <x:c r="M5" s="7" t="str">
        <x:v>Approved exception</x:v>
      </x:c>
    </x:row>
    <x:row r="6" ht="50" customHeight="1">
      <x:c r="A6" s="8" t="n">
        <x:v>46296</x:v>
      </x:c>
      <x:c r="B6" s="2" t="str">
        <x:v>6954</x:v>
      </x:c>
      <x:c r="C6" s="17" t="n">
        <x:v>6127</x:v>
      </x:c>
      <x:c r="D6" s="17" t="n">
        <x:v>6127</x:v>
      </x:c>
      <x:c r="E6" s="17" t="n">
        <x:v>0</x:v>
      </x:c>
      <x:c r="F6" s="36" t="n">
        <x:v>1</x:v>
      </x:c>
      <x:c r="G6" s="2" t="str">
        <x:v>XJPX</x:v>
      </x:c>
      <x:c r="H6" s="2" t="str">
        <x:v>XJPX</x:v>
      </x:c>
      <x:c r="I6" s="31" t="str">
        <x:f>IF(AND(G6=H6,C6&gt;0,ABS(C6-'Prices'!H6)&lt;=MAX(0.01,'Prices'!H6*0.000001)),"Match","Mismatch")</x:f>
        <x:v>Match</x:v>
      </x:c>
      <x:c r="J6" s="14" t="str">
        <x:v>data/bspi15/raw/marketstack/2026-10-09T11-49-33-071Z/constituents-v2.json</x:v>
      </x:c>
      <x:c r="K6" s="14" t="str"/>
      <x:c r="L6" s="38" t="n">
        <x:v>46304.492743877316</x:v>
      </x:c>
      <x:c r="M6" s="14" t="str"/>
    </x:row>
    <x:row r="7" ht="50" customHeight="1">
      <x:c r="A7" s="9" t="n">
        <x:v>46296</x:v>
      </x:c>
      <x:c r="B7" s="10" t="str">
        <x:v>6506</x:v>
      </x:c>
      <x:c r="C7" s="33" t="n">
        <x:v>4779</x:v>
      </x:c>
      <x:c r="D7" s="33" t="n">
        <x:v>4779</x:v>
      </x:c>
      <x:c r="E7" s="33" t="n">
        <x:v>0</x:v>
      </x:c>
      <x:c r="F7" s="37" t="n">
        <x:v>1</x:v>
      </x:c>
      <x:c r="G7" s="10" t="str">
        <x:v>XJPX</x:v>
      </x:c>
      <x:c r="H7" s="10" t="str">
        <x:v>XJPX</x:v>
      </x:c>
      <x:c r="I7" s="32" t="str">
        <x:f>IF(AND(G7=H7,C7&gt;0,ABS(C7-'Prices'!H7)&lt;=MAX(0.01,'Prices'!H7*0.000001)),"Match","Mismatch")</x:f>
        <x:v>Match</x:v>
      </x:c>
      <x:c r="J7" s="16" t="str">
        <x:v>data/bspi15/raw/marketstack/2026-10-09T11-49-33-071Z/constituents-v2.json</x:v>
      </x:c>
      <x:c r="K7" s="16" t="str"/>
      <x:c r="L7" s="39" t="n">
        <x:v>46304.492743877316</x:v>
      </x:c>
      <x:c r="M7" s="16" t="str"/>
    </x:row>
    <x:row r="8" ht="50" customHeight="1">
      <x:c r="A8" s="8" t="n">
        <x:v>46296</x:v>
      </x:c>
      <x:c r="B8" s="13" t="str">
        <x:v>002747</x:v>
      </x:c>
      <x:c r="C8" s="17" t="n">
        <x:v>28.22</x:v>
      </x:c>
      <x:c r="D8" s="17" t="n">
        <x:v>28.22</x:v>
      </x:c>
      <x:c r="E8" s="17" t="n">
        <x:v>0</x:v>
      </x:c>
      <x:c r="F8" s="36" t="n">
        <x:v>1</x:v>
      </x:c>
      <x:c r="G8" s="2" t="str">
        <x:v>XSHE</x:v>
      </x:c>
      <x:c r="H8" s="2" t="str">
        <x:v>XSHE</x:v>
      </x:c>
      <x:c r="I8" s="31" t="str">
        <x:f>IF(AND(G8=H8,C8&gt;0,ABS(C8-'Prices'!H8)&lt;=MAX(0.01,'Prices'!H8*0.000001)),"Verified closure","Mismatch")</x:f>
        <x:v>Verified closure</x:v>
      </x:c>
      <x:c r="J8" s="14" t="str">
        <x:v>data/bspi15/raw/marketstack/2026-10-09T11-49-33-071Z/constituents-v2.json</x:v>
      </x:c>
      <x:c r="K8" s="14" t="str">
        <x:v>https://www.szse.cn/disclosure/notice/t20251222_618087.html</x:v>
      </x:c>
      <x:c r="L8" s="38" t="n">
        <x:v>46304.492743877316</x:v>
      </x:c>
      <x:c r="M8" s="14" t="str"/>
    </x:row>
    <x:row r="9" ht="50" customHeight="1">
      <x:c r="A9" s="9" t="n">
        <x:v>46296</x:v>
      </x:c>
      <x:c r="B9" s="10" t="str">
        <x:v>TER</x:v>
      </x:c>
      <x:c r="C9" s="33" t="n">
        <x:v>415.79</x:v>
      </x:c>
      <x:c r="D9" s="33" t="n">
        <x:v>415.79</x:v>
      </x:c>
      <x:c r="E9" s="33" t="n">
        <x:v>0</x:v>
      </x:c>
      <x:c r="F9" s="37" t="n">
        <x:v>1</x:v>
      </x:c>
      <x:c r="G9" s="10" t="str">
        <x:v>XNAS</x:v>
      </x:c>
      <x:c r="H9" s="10" t="str">
        <x:v>XNAS</x:v>
      </x:c>
      <x:c r="I9" s="32" t="str">
        <x:f>IF(AND(G9=H9,C9&gt;0,ABS(C9-'Prices'!H9)&lt;=MAX(0.01,'Prices'!H9*0.000001)),"Match","Mismatch")</x:f>
        <x:v>Match</x:v>
      </x:c>
      <x:c r="J9" s="16" t="str">
        <x:v>data/bspi15/raw/marketstack/2026-10-09T11-49-33-071Z/constituents-v2.json</x:v>
      </x:c>
      <x:c r="K9" s="16" t="str"/>
      <x:c r="L9" s="39" t="n">
        <x:v>46304.492743877316</x:v>
      </x:c>
      <x:c r="M9" s="16" t="str"/>
    </x:row>
    <x:row r="10" ht="50" customHeight="1">
      <x:c r="A10" s="8" t="n">
        <x:v>46296</x:v>
      </x:c>
      <x:c r="B10" s="2" t="str">
        <x:v>6268</x:v>
      </x:c>
      <x:c r="C10" s="17" t="n">
        <x:v>4975</x:v>
      </x:c>
      <x:c r="D10" s="17" t="n">
        <x:v>4975</x:v>
      </x:c>
      <x:c r="E10" s="17" t="n">
        <x:v>0</x:v>
      </x:c>
      <x:c r="F10" s="36" t="n">
        <x:v>1</x:v>
      </x:c>
      <x:c r="G10" s="2" t="str">
        <x:v>XJPX</x:v>
      </x:c>
      <x:c r="H10" s="2" t="str">
        <x:v>XJPX</x:v>
      </x:c>
      <x:c r="I10" s="31" t="str">
        <x:f>IF(AND(G10=H10,C10&gt;0,ABS(C10-'Prices'!H10)&lt;=MAX(0.01,'Prices'!H10*0.000001)),"Match","Mismatch")</x:f>
        <x:v>Match</x:v>
      </x:c>
      <x:c r="J10" s="14" t="str">
        <x:v>data/bspi15/raw/marketstack/2026-10-09T11-49-33-071Z/constituents-v2.json</x:v>
      </x:c>
      <x:c r="K10" s="14" t="str"/>
      <x:c r="L10" s="38" t="n">
        <x:v>46304.492743877316</x:v>
      </x:c>
      <x:c r="M10" s="14" t="str"/>
    </x:row>
    <x:row r="11" ht="50" customHeight="1">
      <x:c r="A11" s="9" t="n">
        <x:v>46296</x:v>
      </x:c>
      <x:c r="B11" s="10" t="str">
        <x:v>300124</x:v>
      </x:c>
      <x:c r="C11" s="33" t="n">
        <x:v>51.9</x:v>
      </x:c>
      <x:c r="D11" s="33" t="n">
        <x:v>51.9</x:v>
      </x:c>
      <x:c r="E11" s="33" t="n">
        <x:v>0</x:v>
      </x:c>
      <x:c r="F11" s="37" t="n">
        <x:v>1</x:v>
      </x:c>
      <x:c r="G11" s="10" t="str">
        <x:v>XSHE</x:v>
      </x:c>
      <x:c r="H11" s="10" t="str">
        <x:v>XSHE</x:v>
      </x:c>
      <x:c r="I11" s="32" t="str">
        <x:f>IF(AND(G11=H11,C11&gt;0,ABS(C11-'Prices'!H11)&lt;=MAX(0.01,'Prices'!H11*0.000001)),"Verified closure","Mismatch")</x:f>
        <x:v>Verified closure</x:v>
      </x:c>
      <x:c r="J11" s="16" t="str">
        <x:v>data/bspi15/raw/marketstack/2026-10-09T11-49-33-071Z/constituents-v2.json</x:v>
      </x:c>
      <x:c r="K11" s="16" t="str">
        <x:v>https://www.szse.cn/disclosure/notice/t20251222_618087.html</x:v>
      </x:c>
      <x:c r="L11" s="39" t="n">
        <x:v>46304.492743877316</x:v>
      </x:c>
      <x:c r="M11" s="16" t="str"/>
    </x:row>
    <x:row r="12" ht="50" customHeight="1">
      <x:c r="A12" s="8" t="n">
        <x:v>46296</x:v>
      </x:c>
      <x:c r="B12" s="2" t="str">
        <x:v>6861</x:v>
      </x:c>
      <x:c r="C12" s="17" t="n">
        <x:v>81200</x:v>
      </x:c>
      <x:c r="D12" s="17" t="n">
        <x:v>81200</x:v>
      </x:c>
      <x:c r="E12" s="17" t="n">
        <x:v>0</x:v>
      </x:c>
      <x:c r="F12" s="36" t="n">
        <x:v>1</x:v>
      </x:c>
      <x:c r="G12" s="2" t="str">
        <x:v>XJPX</x:v>
      </x:c>
      <x:c r="H12" s="2" t="str">
        <x:v>XJPX</x:v>
      </x:c>
      <x:c r="I12" s="31" t="str">
        <x:f>IF(AND(G12=H12,C12&gt;0,ABS(C12-'Prices'!H12)&lt;=MAX(0.01,'Prices'!H12*0.000001)),"Match","Mismatch")</x:f>
        <x:v>Match</x:v>
      </x:c>
      <x:c r="J12" s="14" t="str">
        <x:v>data/bspi15/raw/marketstack/2026-10-09T11-49-33-071Z/constituents-v2.json</x:v>
      </x:c>
      <x:c r="K12" s="14" t="str"/>
      <x:c r="L12" s="38" t="n">
        <x:v>46304.492743877316</x:v>
      </x:c>
      <x:c r="M12" s="14" t="str"/>
    </x:row>
    <x:row r="13" ht="50" customHeight="1">
      <x:c r="A13" s="9" t="n">
        <x:v>46296</x:v>
      </x:c>
      <x:c r="B13" s="10" t="str">
        <x:v>CGNX</x:v>
      </x:c>
      <x:c r="C13" s="33" t="n">
        <x:v>62.22</x:v>
      </x:c>
      <x:c r="D13" s="33" t="n">
        <x:v>62.22</x:v>
      </x:c>
      <x:c r="E13" s="33" t="n">
        <x:v>0</x:v>
      </x:c>
      <x:c r="F13" s="37" t="n">
        <x:v>1</x:v>
      </x:c>
      <x:c r="G13" s="10" t="str">
        <x:v>XNAS</x:v>
      </x:c>
      <x:c r="H13" s="10" t="str">
        <x:v>XNAS</x:v>
      </x:c>
      <x:c r="I13" s="32" t="str">
        <x:f>IF(AND(G13=H13,C13&gt;0,ABS(C13-'Prices'!H13)&lt;=MAX(0.01,'Prices'!H13*0.000001)),"Match","Mismatch")</x:f>
        <x:v>Match</x:v>
      </x:c>
      <x:c r="J13" s="16" t="str">
        <x:v>data/bspi15/raw/marketstack/2026-10-09T11-49-33-071Z/constituents-v2.json</x:v>
      </x:c>
      <x:c r="K13" s="16" t="str"/>
      <x:c r="L13" s="39" t="n">
        <x:v>46304.492743877316</x:v>
      </x:c>
      <x:c r="M13" s="16" t="str"/>
    </x:row>
    <x:row r="14" ht="50" customHeight="1">
      <x:c r="A14" s="8" t="n">
        <x:v>46296</x:v>
      </x:c>
      <x:c r="B14" s="2" t="str">
        <x:v>OUST</x:v>
      </x:c>
      <x:c r="C14" s="17" t="n">
        <x:v>40.87</x:v>
      </x:c>
      <x:c r="D14" s="17" t="n">
        <x:v>40.87</x:v>
      </x:c>
      <x:c r="E14" s="17" t="n">
        <x:v>0</x:v>
      </x:c>
      <x:c r="F14" s="36" t="n">
        <x:v>1</x:v>
      </x:c>
      <x:c r="G14" s="2" t="str">
        <x:v>XNAS</x:v>
      </x:c>
      <x:c r="H14" s="2" t="str">
        <x:v>XNYS</x:v>
      </x:c>
      <x:c r="I14" s="31" t="str">
        <x:f>IF(AND(OR(G14=H14,AND(B14="OUST",G14="XNAS",H14="XNYS",LEFT(M14,34)="ouster-marketstack-legacy-nyse-tag")),C14&gt;0,ABS(C14-'Prices'!H14)&lt;=MAX(0.01,'Prices'!H14*0.000001)),"Approved MIC exception","Mismatch")</x:f>
        <x:v>Approved MIC exception</x:v>
      </x:c>
      <x:c r="J14" s="14" t="str">
        <x:v>data/bspi15/raw/marketstack/2026-10-09T11-49-33-071Z/constituents-v2.json</x:v>
      </x:c>
      <x:c r="K14" s="14" t="str"/>
      <x:c r="L14" s="38" t="n">
        <x:v>46304.492743877316</x:v>
      </x:c>
      <x:c r="M14" s="14" t="str">
        <x:v>ouster-marketstack-legacy-nyse-tag; approved 2026-10-14; data/bspi15/provider-mic-exceptions.json</x:v>
      </x:c>
    </x:row>
    <x:row r="15" ht="50" customHeight="1">
      <x:c r="A15" s="9" t="n">
        <x:v>46296</x:v>
      </x:c>
      <x:c r="B15" s="10" t="str">
        <x:v>HSAI</x:v>
      </x:c>
      <x:c r="C15" s="33" t="n">
        <x:v>15.93</x:v>
      </x:c>
      <x:c r="D15" s="33" t="n">
        <x:v>15.93</x:v>
      </x:c>
      <x:c r="E15" s="33" t="n">
        <x:v>0</x:v>
      </x:c>
      <x:c r="F15" s="37" t="n">
        <x:v>1</x:v>
      </x:c>
      <x:c r="G15" s="10" t="str">
        <x:v>XNAS</x:v>
      </x:c>
      <x:c r="H15" s="10" t="str">
        <x:v>XNAS</x:v>
      </x:c>
      <x:c r="I15" s="32" t="str">
        <x:f>IF(AND(G15=H15,C15&gt;0,ABS(C15-'Prices'!H15)&lt;=MAX(0.01,'Prices'!H15*0.000001)),"Match","Mismatch")</x:f>
        <x:v>Match</x:v>
      </x:c>
      <x:c r="J15" s="16" t="str">
        <x:v>data/bspi15/raw/marketstack/2026-10-09T11-49-33-071Z/constituents-v2.json</x:v>
      </x:c>
      <x:c r="K15" s="16" t="str"/>
      <x:c r="L15" s="39" t="n">
        <x:v>46304.492743877316</x:v>
      </x:c>
      <x:c r="M15" s="16" t="str"/>
    </x:row>
    <x:row r="16" ht="50" customHeight="1">
      <x:c r="A16" s="8" t="n">
        <x:v>46296</x:v>
      </x:c>
      <x:c r="B16" s="2" t="str">
        <x:v>ROK</x:v>
      </x:c>
      <x:c r="C16" s="17" t="n">
        <x:v>442.45</x:v>
      </x:c>
      <x:c r="D16" s="17" t="n">
        <x:v>442.45</x:v>
      </x:c>
      <x:c r="E16" s="17" t="n">
        <x:v>0</x:v>
      </x:c>
      <x:c r="F16" s="36" t="n">
        <x:v>1</x:v>
      </x:c>
      <x:c r="G16" s="2" t="str">
        <x:v>XNYS</x:v>
      </x:c>
      <x:c r="H16" s="2" t="str">
        <x:v>XNYS</x:v>
      </x:c>
      <x:c r="I16" s="31" t="str">
        <x:f>IF(AND(G16=H16,C16&gt;0,ABS(C16-'Prices'!H16)&lt;=MAX(0.01,'Prices'!H16*0.000001)),"Match","Mismatch")</x:f>
        <x:v>Match</x:v>
      </x:c>
      <x:c r="J16" s="14" t="str">
        <x:v>data/bspi15/raw/marketstack/2026-10-09T11-49-33-071Z/constituents-v2.json</x:v>
      </x:c>
      <x:c r="K16" s="14" t="str"/>
      <x:c r="L16" s="38" t="n">
        <x:v>46304.492743877316</x:v>
      </x:c>
      <x:c r="M16" s="14" t="str"/>
    </x:row>
    <x:row r="17" ht="50" customHeight="1">
      <x:c r="A17" s="9" t="n">
        <x:v>46296</x:v>
      </x:c>
      <x:c r="B17" s="10" t="str">
        <x:v>SIE</x:v>
      </x:c>
      <x:c r="C17" s="33" t="n">
        <x:v>271.9</x:v>
      </x:c>
      <x:c r="D17" s="33" t="n">
        <x:v>271.9</x:v>
      </x:c>
      <x:c r="E17" s="33" t="n">
        <x:v>0</x:v>
      </x:c>
      <x:c r="F17" s="37" t="n">
        <x:v>1</x:v>
      </x:c>
      <x:c r="G17" s="10" t="str">
        <x:v>XETR</x:v>
      </x:c>
      <x:c r="H17" s="10" t="str">
        <x:v>XETR</x:v>
      </x:c>
      <x:c r="I17" s="32" t="str">
        <x:f>IF(AND(G17=H17,C17&gt;0,ABS(C17-'Prices'!H17)&lt;=MAX(0.01,'Prices'!H17*0.000001)),"Match","Mismatch")</x:f>
        <x:v>Match</x:v>
      </x:c>
      <x:c r="J17" s="16" t="str">
        <x:v>data/bspi15/raw/marketstack/2026-10-09T11-49-33-071Z/constituents-v2.json</x:v>
      </x:c>
      <x:c r="K17" s="16" t="str"/>
      <x:c r="L17" s="39" t="n">
        <x:v>46304.492743877316</x:v>
      </x:c>
      <x:c r="M17" s="16" t="str"/>
    </x:row>
    <x:row r="18" ht="50" customHeight="1">
      <x:c r="A18" s="8" t="n">
        <x:v>46296</x:v>
      </x:c>
      <x:c r="B18" s="2" t="str">
        <x:v>NXPI</x:v>
      </x:c>
      <x:c r="C18" s="17" t="n">
        <x:v>239.19</x:v>
      </x:c>
      <x:c r="D18" s="17" t="n">
        <x:v>239.19</x:v>
      </x:c>
      <x:c r="E18" s="17" t="n">
        <x:v>0</x:v>
      </x:c>
      <x:c r="F18" s="36" t="n">
        <x:v>1</x:v>
      </x:c>
      <x:c r="G18" s="2" t="str">
        <x:v>XNAS</x:v>
      </x:c>
      <x:c r="H18" s="2" t="str">
        <x:v>XNAS</x:v>
      </x:c>
      <x:c r="I18" s="31" t="str">
        <x:f>IF(AND(G18=H18,C18&gt;0,ABS(C18-'Prices'!H18)&lt;=MAX(0.01,'Prices'!H18*0.000001)),"Match","Mismatch")</x:f>
        <x:v>Match</x:v>
      </x:c>
      <x:c r="J18" s="14" t="str">
        <x:v>data/bspi15/raw/marketstack/2026-10-09T11-49-33-071Z/constituents-v2.json</x:v>
      </x:c>
      <x:c r="K18" s="14" t="str"/>
      <x:c r="L18" s="38" t="n">
        <x:v>46304.492743877316</x:v>
      </x:c>
      <x:c r="M18" s="14" t="str"/>
    </x:row>
    <x:row r="19" ht="50" customHeight="1">
      <x:c r="A19" s="9" t="n">
        <x:v>46296</x:v>
      </x:c>
      <x:c r="B19" s="10" t="str">
        <x:v>6383</x:v>
      </x:c>
      <x:c r="C19" s="33" t="n">
        <x:v>5832</x:v>
      </x:c>
      <x:c r="D19" s="33" t="n">
        <x:v>5832</x:v>
      </x:c>
      <x:c r="E19" s="33" t="n">
        <x:v>0</x:v>
      </x:c>
      <x:c r="F19" s="37" t="n">
        <x:v>1</x:v>
      </x:c>
      <x:c r="G19" s="10" t="str">
        <x:v>XJPX</x:v>
      </x:c>
      <x:c r="H19" s="10" t="str">
        <x:v>XJPX</x:v>
      </x:c>
      <x:c r="I19" s="32" t="str">
        <x:f>IF(AND(G19=H19,C19&gt;0,ABS(C19-'Prices'!H19)&lt;=MAX(0.01,'Prices'!H19*0.000001)),"Match","Mismatch")</x:f>
        <x:v>Match</x:v>
      </x:c>
      <x:c r="J19" s="16" t="str">
        <x:v>data/bspi15/raw/marketstack/2026-10-09T11-49-33-071Z/constituents-v2.json</x:v>
      </x:c>
      <x:c r="K19" s="16" t="str"/>
      <x:c r="L19" s="39" t="n">
        <x:v>46304.492743877316</x:v>
      </x:c>
      <x:c r="M19" s="16" t="str"/>
    </x:row>
    <x:row r="20" ht="50" customHeight="1">
      <x:c r="A20" s="8" t="n">
        <x:v>46296</x:v>
      </x:c>
      <x:c r="B20" s="2" t="str">
        <x:v>HEXA B</x:v>
      </x:c>
      <x:c r="C20" s="17" t="n">
        <x:v>99.02</x:v>
      </x:c>
      <x:c r="D20" s="17" t="n">
        <x:v>99.02</x:v>
      </x:c>
      <x:c r="E20" s="17" t="n">
        <x:v>0</x:v>
      </x:c>
      <x:c r="F20" s="36" t="n">
        <x:v>1</x:v>
      </x:c>
      <x:c r="G20" s="2" t="str">
        <x:v>XSTO</x:v>
      </x:c>
      <x:c r="H20" s="2" t="str">
        <x:v>XSTO</x:v>
      </x:c>
      <x:c r="I20" s="31" t="str">
        <x:f>IF(AND(G20=H20,C20&gt;0,ABS(C20-'Prices'!H20)&lt;=MAX(0.01,'Prices'!H20*0.000001)),"Match","Mismatch")</x:f>
        <x:v>Match</x:v>
      </x:c>
      <x:c r="J20" s="14" t="str">
        <x:v>data/bspi15/raw/marketstack/2026-10-09T11-49-33-071Z/constituents-v2.json</x:v>
      </x:c>
      <x:c r="K20" s="14" t="str"/>
      <x:c r="L20" s="38" t="n">
        <x:v>46304.492743877316</x:v>
      </x:c>
      <x:c r="M20" s="14" t="str"/>
    </x:row>
    <x:row r="21" ht="50" customHeight="1">
      <x:c r="A21" s="9" t="n">
        <x:v>46296</x:v>
      </x:c>
      <x:c r="B21" s="10" t="str">
        <x:v>S&amp;P 500</x:v>
      </x:c>
      <x:c r="C21" s="33" t="n">
        <x:v>7666.45</x:v>
      </x:c>
      <x:c r="D21" s="33" t="n">
        <x:v>7666.45</x:v>
      </x:c>
      <x:c r="E21" s="33" t="n">
        <x:v>0</x:v>
      </x:c>
      <x:c r="F21" s="37" t="n">
        <x:v>1</x:v>
      </x:c>
      <x:c r="G21" s="10" t="str">
        <x:v>INDX</x:v>
      </x:c>
      <x:c r="H21" s="10" t="str">
        <x:v>INDX</x:v>
      </x:c>
      <x:c r="I21" s="32" t="str">
        <x:f>IF(AND(G21=H21,C21&gt;0,ABS(C21-'Prices'!H21)&lt;=MAX(0.01,'Prices'!H21*0.000001)),"Match","Mismatch")</x:f>
        <x:v>Match</x:v>
      </x:c>
      <x:c r="J21" s="16" t="str">
        <x:v>data/bspi15/raw/marketstack/2026-10-09T11-49-33-071Z/benchmarks-v1.json</x:v>
      </x:c>
      <x:c r="K21" s="16" t="str"/>
      <x:c r="L21" s="39" t="n">
        <x:v>46304.492743877316</x:v>
      </x:c>
      <x:c r="M21" s="16" t="str"/>
    </x:row>
    <x:row r="22" ht="50" customHeight="1">
      <x:c r="A22" s="8" t="n">
        <x:v>46296</x:v>
      </x:c>
      <x:c r="B22" s="2" t="str">
        <x:v>Nasdaq Composite</x:v>
      </x:c>
      <x:c r="C22" s="17" t="n">
        <x:v>26871.5957</x:v>
      </x:c>
      <x:c r="D22" s="17" t="n">
        <x:v>26871.5957</x:v>
      </x:c>
      <x:c r="E22" s="17" t="n">
        <x:v>0</x:v>
      </x:c>
      <x:c r="F22" s="36" t="n">
        <x:v>1</x:v>
      </x:c>
      <x:c r="G22" s="2" t="str">
        <x:v>INDX</x:v>
      </x:c>
      <x:c r="H22" s="2" t="str">
        <x:v>INDX</x:v>
      </x:c>
      <x:c r="I22" s="31" t="str">
        <x:f>IF(AND(G22=H22,C22&gt;0,ABS(C22-'Prices'!H22)&lt;=MAX(0.01,'Prices'!H22*0.000001)),"Match","Mismatch")</x:f>
        <x:v>Match</x:v>
      </x:c>
      <x:c r="J22" s="14" t="str">
        <x:v>data/bspi15/raw/marketstack/2026-10-09T11-49-33-071Z/benchmarks-v1.json</x:v>
      </x:c>
      <x:c r="K22" s="14" t="str"/>
      <x:c r="L22" s="38" t="n">
        <x:v>46304.492743877316</x:v>
      </x:c>
      <x:c r="M22" s="14" t="str"/>
    </x:row>
    <x:row r="23" ht="50" customHeight="1">
      <x:c r="A23" s="9" t="n">
        <x:v>46297</x:v>
      </x:c>
      <x:c r="B23" s="10" t="str">
        <x:v>6954</x:v>
      </x:c>
      <x:c r="C23" s="33" t="n">
        <x:v>6075</x:v>
      </x:c>
      <x:c r="D23" s="33" t="n">
        <x:v>6075</x:v>
      </x:c>
      <x:c r="E23" s="33" t="n">
        <x:v>0</x:v>
      </x:c>
      <x:c r="F23" s="37" t="n">
        <x:v>1</x:v>
      </x:c>
      <x:c r="G23" s="10" t="str">
        <x:v>XJPX</x:v>
      </x:c>
      <x:c r="H23" s="10" t="str">
        <x:v>XJPX</x:v>
      </x:c>
      <x:c r="I23" s="32" t="str">
        <x:f>IF(AND(G23=H23,C23&gt;0,ABS(C23-'Prices'!H23)&lt;=MAX(0.01,'Prices'!H23*0.000001)),"Match","Mismatch")</x:f>
        <x:v>Match</x:v>
      </x:c>
      <x:c r="J23" s="16" t="str">
        <x:v>data/bspi15/raw/marketstack/2026-10-09T11-49-33-071Z/constituents-v2.json</x:v>
      </x:c>
      <x:c r="K23" s="16" t="str"/>
      <x:c r="L23" s="39" t="n">
        <x:v>46304.492743877316</x:v>
      </x:c>
      <x:c r="M23" s="16" t="str"/>
    </x:row>
    <x:row r="24" ht="50" customHeight="1">
      <x:c r="A24" s="8" t="n">
        <x:v>46297</x:v>
      </x:c>
      <x:c r="B24" s="2" t="str">
        <x:v>6506</x:v>
      </x:c>
      <x:c r="C24" s="17" t="n">
        <x:v>4806</x:v>
      </x:c>
      <x:c r="D24" s="17" t="n">
        <x:v>4806</x:v>
      </x:c>
      <x:c r="E24" s="17" t="n">
        <x:v>0</x:v>
      </x:c>
      <x:c r="F24" s="36" t="n">
        <x:v>1</x:v>
      </x:c>
      <x:c r="G24" s="2" t="str">
        <x:v>XJPX</x:v>
      </x:c>
      <x:c r="H24" s="2" t="str">
        <x:v>XJPX</x:v>
      </x:c>
      <x:c r="I24" s="31" t="str">
        <x:f>IF(AND(G24=H24,C24&gt;0,ABS(C24-'Prices'!H24)&lt;=MAX(0.01,'Prices'!H24*0.000001)),"Match","Mismatch")</x:f>
        <x:v>Match</x:v>
      </x:c>
      <x:c r="J24" s="14" t="str">
        <x:v>data/bspi15/raw/marketstack/2026-10-09T11-49-33-071Z/constituents-v2.json</x:v>
      </x:c>
      <x:c r="K24" s="14" t="str"/>
      <x:c r="L24" s="38" t="n">
        <x:v>46304.492743877316</x:v>
      </x:c>
      <x:c r="M24" s="14" t="str"/>
    </x:row>
    <x:row r="25" ht="50" customHeight="1">
      <x:c r="A25" s="9" t="n">
        <x:v>46297</x:v>
      </x:c>
      <x:c r="B25" s="15" t="str">
        <x:v>002747</x:v>
      </x:c>
      <x:c r="C25" s="33" t="n">
        <x:v>28.22</x:v>
      </x:c>
      <x:c r="D25" s="33" t="n">
        <x:v>28.22</x:v>
      </x:c>
      <x:c r="E25" s="33" t="n">
        <x:v>0</x:v>
      </x:c>
      <x:c r="F25" s="37" t="n">
        <x:v>1</x:v>
      </x:c>
      <x:c r="G25" s="10" t="str">
        <x:v>XSHE</x:v>
      </x:c>
      <x:c r="H25" s="10" t="str">
        <x:v>XSHE</x:v>
      </x:c>
      <x:c r="I25" s="32" t="str">
        <x:f>IF(AND(G25=H25,C25&gt;0,ABS(C25-'Prices'!H25)&lt;=MAX(0.01,'Prices'!H25*0.000001)),"Verified closure","Mismatch")</x:f>
        <x:v>Verified closure</x:v>
      </x:c>
      <x:c r="J25" s="16" t="str">
        <x:v>data/bspi15/raw/marketstack/2026-10-09T11-49-33-071Z/constituents-v2.json</x:v>
      </x:c>
      <x:c r="K25" s="16" t="str">
        <x:v>https://www.szse.cn/disclosure/notice/t20251222_618087.html</x:v>
      </x:c>
      <x:c r="L25" s="39" t="n">
        <x:v>46304.492743877316</x:v>
      </x:c>
      <x:c r="M25" s="16" t="str"/>
    </x:row>
    <x:row r="26" ht="50" customHeight="1">
      <x:c r="A26" s="8" t="n">
        <x:v>46297</x:v>
      </x:c>
      <x:c r="B26" s="2" t="str">
        <x:v>TER</x:v>
      </x:c>
      <x:c r="C26" s="17" t="n">
        <x:v>449.04</x:v>
      </x:c>
      <x:c r="D26" s="17" t="n">
        <x:v>449.04</x:v>
      </x:c>
      <x:c r="E26" s="17" t="n">
        <x:v>0</x:v>
      </x:c>
      <x:c r="F26" s="36" t="n">
        <x:v>1</x:v>
      </x:c>
      <x:c r="G26" s="2" t="str">
        <x:v>XNAS</x:v>
      </x:c>
      <x:c r="H26" s="2" t="str">
        <x:v>XNAS</x:v>
      </x:c>
      <x:c r="I26" s="31" t="str">
        <x:f>IF(AND(G26=H26,C26&gt;0,ABS(C26-'Prices'!H26)&lt;=MAX(0.01,'Prices'!H26*0.000001)),"Match","Mismatch")</x:f>
        <x:v>Match</x:v>
      </x:c>
      <x:c r="J26" s="14" t="str">
        <x:v>data/bspi15/raw/marketstack/2026-10-09T11-49-33-071Z/constituents-v2.json</x:v>
      </x:c>
      <x:c r="K26" s="14" t="str"/>
      <x:c r="L26" s="38" t="n">
        <x:v>46304.492743877316</x:v>
      </x:c>
      <x:c r="M26" s="14" t="str"/>
    </x:row>
    <x:row r="27" ht="50" customHeight="1">
      <x:c r="A27" s="9" t="n">
        <x:v>46297</x:v>
      </x:c>
      <x:c r="B27" s="10" t="str">
        <x:v>6268</x:v>
      </x:c>
      <x:c r="C27" s="33" t="n">
        <x:v>4926</x:v>
      </x:c>
      <x:c r="D27" s="33" t="n">
        <x:v>4926</x:v>
      </x:c>
      <x:c r="E27" s="33" t="n">
        <x:v>0</x:v>
      </x:c>
      <x:c r="F27" s="37" t="n">
        <x:v>1</x:v>
      </x:c>
      <x:c r="G27" s="10" t="str">
        <x:v>XJPX</x:v>
      </x:c>
      <x:c r="H27" s="10" t="str">
        <x:v>XJPX</x:v>
      </x:c>
      <x:c r="I27" s="32" t="str">
        <x:f>IF(AND(G27=H27,C27&gt;0,ABS(C27-'Prices'!H27)&lt;=MAX(0.01,'Prices'!H27*0.000001)),"Match","Mismatch")</x:f>
        <x:v>Match</x:v>
      </x:c>
      <x:c r="J27" s="16" t="str">
        <x:v>data/bspi15/raw/marketstack/2026-10-09T11-49-33-071Z/constituents-v2.json</x:v>
      </x:c>
      <x:c r="K27" s="16" t="str"/>
      <x:c r="L27" s="39" t="n">
        <x:v>46304.492743877316</x:v>
      </x:c>
      <x:c r="M27" s="16" t="str"/>
    </x:row>
    <x:row r="28" ht="50" customHeight="1">
      <x:c r="A28" s="8" t="n">
        <x:v>46297</x:v>
      </x:c>
      <x:c r="B28" s="2" t="str">
        <x:v>300124</x:v>
      </x:c>
      <x:c r="C28" s="17" t="n">
        <x:v>51.9</x:v>
      </x:c>
      <x:c r="D28" s="17" t="n">
        <x:v>51.9</x:v>
      </x:c>
      <x:c r="E28" s="17" t="n">
        <x:v>0</x:v>
      </x:c>
      <x:c r="F28" s="36" t="n">
        <x:v>1</x:v>
      </x:c>
      <x:c r="G28" s="2" t="str">
        <x:v>XSHE</x:v>
      </x:c>
      <x:c r="H28" s="2" t="str">
        <x:v>XSHE</x:v>
      </x:c>
      <x:c r="I28" s="31" t="str">
        <x:f>IF(AND(G28=H28,C28&gt;0,ABS(C28-'Prices'!H28)&lt;=MAX(0.01,'Prices'!H28*0.000001)),"Verified closure","Mismatch")</x:f>
        <x:v>Verified closure</x:v>
      </x:c>
      <x:c r="J28" s="14" t="str">
        <x:v>data/bspi15/raw/marketstack/2026-10-09T11-49-33-071Z/constituents-v2.json</x:v>
      </x:c>
      <x:c r="K28" s="14" t="str">
        <x:v>https://www.szse.cn/disclosure/notice/t20251222_618087.html</x:v>
      </x:c>
      <x:c r="L28" s="38" t="n">
        <x:v>46304.492743877316</x:v>
      </x:c>
      <x:c r="M28" s="14" t="str"/>
    </x:row>
    <x:row r="29" ht="50" customHeight="1">
      <x:c r="A29" s="9" t="n">
        <x:v>46297</x:v>
      </x:c>
      <x:c r="B29" s="10" t="str">
        <x:v>6861</x:v>
      </x:c>
      <x:c r="C29" s="33" t="n">
        <x:v>80270</x:v>
      </x:c>
      <x:c r="D29" s="33" t="n">
        <x:v>80270</x:v>
      </x:c>
      <x:c r="E29" s="33" t="n">
        <x:v>0</x:v>
      </x:c>
      <x:c r="F29" s="37" t="n">
        <x:v>1</x:v>
      </x:c>
      <x:c r="G29" s="10" t="str">
        <x:v>XJPX</x:v>
      </x:c>
      <x:c r="H29" s="10" t="str">
        <x:v>XJPX</x:v>
      </x:c>
      <x:c r="I29" s="32" t="str">
        <x:f>IF(AND(G29=H29,C29&gt;0,ABS(C29-'Prices'!H29)&lt;=MAX(0.01,'Prices'!H29*0.000001)),"Match","Mismatch")</x:f>
        <x:v>Match</x:v>
      </x:c>
      <x:c r="J29" s="16" t="str">
        <x:v>data/bspi15/raw/marketstack/2026-10-09T11-49-33-071Z/constituents-v2.json</x:v>
      </x:c>
      <x:c r="K29" s="16" t="str"/>
      <x:c r="L29" s="39" t="n">
        <x:v>46304.492743877316</x:v>
      </x:c>
      <x:c r="M29" s="16" t="str"/>
    </x:row>
    <x:row r="30" ht="50" customHeight="1">
      <x:c r="A30" s="8" t="n">
        <x:v>46297</x:v>
      </x:c>
      <x:c r="B30" s="2" t="str">
        <x:v>CGNX</x:v>
      </x:c>
      <x:c r="C30" s="17" t="n">
        <x:v>64.97</x:v>
      </x:c>
      <x:c r="D30" s="17" t="n">
        <x:v>64.97</x:v>
      </x:c>
      <x:c r="E30" s="17" t="n">
        <x:v>0</x:v>
      </x:c>
      <x:c r="F30" s="36" t="n">
        <x:v>1</x:v>
      </x:c>
      <x:c r="G30" s="2" t="str">
        <x:v>XNAS</x:v>
      </x:c>
      <x:c r="H30" s="2" t="str">
        <x:v>XNAS</x:v>
      </x:c>
      <x:c r="I30" s="31" t="str">
        <x:f>IF(AND(G30=H30,C30&gt;0,ABS(C30-'Prices'!H30)&lt;=MAX(0.01,'Prices'!H30*0.000001)),"Match","Mismatch")</x:f>
        <x:v>Match</x:v>
      </x:c>
      <x:c r="J30" s="14" t="str">
        <x:v>data/bspi15/raw/marketstack/2026-10-09T11-49-33-071Z/constituents-v2.json</x:v>
      </x:c>
      <x:c r="K30" s="14" t="str"/>
      <x:c r="L30" s="38" t="n">
        <x:v>46304.492743877316</x:v>
      </x:c>
      <x:c r="M30" s="14" t="str"/>
    </x:row>
    <x:row r="31" ht="50" customHeight="1">
      <x:c r="A31" s="9" t="n">
        <x:v>46297</x:v>
      </x:c>
      <x:c r="B31" s="10" t="str">
        <x:v>OUST</x:v>
      </x:c>
      <x:c r="C31" s="33" t="n">
        <x:v>44.39</x:v>
      </x:c>
      <x:c r="D31" s="33" t="n">
        <x:v>44.39</x:v>
      </x:c>
      <x:c r="E31" s="33" t="n">
        <x:v>0</x:v>
      </x:c>
      <x:c r="F31" s="37" t="n">
        <x:v>1</x:v>
      </x:c>
      <x:c r="G31" s="10" t="str">
        <x:v>XNAS</x:v>
      </x:c>
      <x:c r="H31" s="10" t="str">
        <x:v>XNYS</x:v>
      </x:c>
      <x:c r="I31" s="32" t="str">
        <x:f>IF(AND(OR(G31=H31,AND(B31="OUST",G31="XNAS",H31="XNYS",LEFT(M31,34)="ouster-marketstack-legacy-nyse-tag")),C31&gt;0,ABS(C31-'Prices'!H31)&lt;=MAX(0.01,'Prices'!H31*0.000001)),"Approved MIC exception","Mismatch")</x:f>
        <x:v>Approved MIC exception</x:v>
      </x:c>
      <x:c r="J31" s="16" t="str">
        <x:v>data/bspi15/raw/marketstack/2026-10-09T11-49-33-071Z/constituents-v2.json</x:v>
      </x:c>
      <x:c r="K31" s="16" t="str"/>
      <x:c r="L31" s="39" t="n">
        <x:v>46304.492743877316</x:v>
      </x:c>
      <x:c r="M31" s="16" t="str">
        <x:v>ouster-marketstack-legacy-nyse-tag; approved 2026-10-14; data/bspi15/provider-mic-exceptions.json</x:v>
      </x:c>
    </x:row>
    <x:row r="32" ht="50" customHeight="1">
      <x:c r="A32" s="8" t="n">
        <x:v>46297</x:v>
      </x:c>
      <x:c r="B32" s="2" t="str">
        <x:v>HSAI</x:v>
      </x:c>
      <x:c r="C32" s="17" t="n">
        <x:v>15.38</x:v>
      </x:c>
      <x:c r="D32" s="17" t="n">
        <x:v>15.38</x:v>
      </x:c>
      <x:c r="E32" s="17" t="n">
        <x:v>0</x:v>
      </x:c>
      <x:c r="F32" s="36" t="n">
        <x:v>1</x:v>
      </x:c>
      <x:c r="G32" s="2" t="str">
        <x:v>XNAS</x:v>
      </x:c>
      <x:c r="H32" s="2" t="str">
        <x:v>XNAS</x:v>
      </x:c>
      <x:c r="I32" s="31" t="str">
        <x:f>IF(AND(G32=H32,C32&gt;0,ABS(C32-'Prices'!H32)&lt;=MAX(0.01,'Prices'!H32*0.000001)),"Match","Mismatch")</x:f>
        <x:v>Match</x:v>
      </x:c>
      <x:c r="J32" s="14" t="str">
        <x:v>data/bspi15/raw/marketstack/2026-10-09T11-49-33-071Z/constituents-v2.json</x:v>
      </x:c>
      <x:c r="K32" s="14" t="str"/>
      <x:c r="L32" s="38" t="n">
        <x:v>46304.492743877316</x:v>
      </x:c>
      <x:c r="M32" s="14" t="str"/>
    </x:row>
    <x:row r="33" ht="50" customHeight="1">
      <x:c r="A33" s="9" t="n">
        <x:v>46297</x:v>
      </x:c>
      <x:c r="B33" s="10" t="str">
        <x:v>ROK</x:v>
      </x:c>
      <x:c r="C33" s="33" t="n">
        <x:v>454.35</x:v>
      </x:c>
      <x:c r="D33" s="33" t="n">
        <x:v>454.35</x:v>
      </x:c>
      <x:c r="E33" s="33" t="n">
        <x:v>0</x:v>
      </x:c>
      <x:c r="F33" s="37" t="n">
        <x:v>1</x:v>
      </x:c>
      <x:c r="G33" s="10" t="str">
        <x:v>XNYS</x:v>
      </x:c>
      <x:c r="H33" s="10" t="str">
        <x:v>XNYS</x:v>
      </x:c>
      <x:c r="I33" s="32" t="str">
        <x:f>IF(AND(G33=H33,C33&gt;0,ABS(C33-'Prices'!H33)&lt;=MAX(0.01,'Prices'!H33*0.000001)),"Match","Mismatch")</x:f>
        <x:v>Match</x:v>
      </x:c>
      <x:c r="J33" s="16" t="str">
        <x:v>data/bspi15/raw/marketstack/2026-10-09T11-49-33-071Z/constituents-v2.json</x:v>
      </x:c>
      <x:c r="K33" s="16" t="str"/>
      <x:c r="L33" s="39" t="n">
        <x:v>46304.492743877316</x:v>
      </x:c>
      <x:c r="M33" s="16" t="str"/>
    </x:row>
    <x:row r="34" ht="50" customHeight="1">
      <x:c r="A34" s="8" t="n">
        <x:v>46297</x:v>
      </x:c>
      <x:c r="B34" s="2" t="str">
        <x:v>SIE</x:v>
      </x:c>
      <x:c r="C34" s="17" t="n">
        <x:v>276.1</x:v>
      </x:c>
      <x:c r="D34" s="17" t="n">
        <x:v>276.1</x:v>
      </x:c>
      <x:c r="E34" s="17" t="n">
        <x:v>0</x:v>
      </x:c>
      <x:c r="F34" s="36" t="n">
        <x:v>1</x:v>
      </x:c>
      <x:c r="G34" s="2" t="str">
        <x:v>XETR</x:v>
      </x:c>
      <x:c r="H34" s="2" t="str">
        <x:v>XETR</x:v>
      </x:c>
      <x:c r="I34" s="31" t="str">
        <x:f>IF(AND(G34=H34,C34&gt;0,ABS(C34-'Prices'!H34)&lt;=MAX(0.01,'Prices'!H34*0.000001)),"Match","Mismatch")</x:f>
        <x:v>Match</x:v>
      </x:c>
      <x:c r="J34" s="14" t="str">
        <x:v>data/bspi15/raw/marketstack/2026-10-09T11-49-33-071Z/constituents-v2.json</x:v>
      </x:c>
      <x:c r="K34" s="14" t="str"/>
      <x:c r="L34" s="38" t="n">
        <x:v>46304.492743877316</x:v>
      </x:c>
      <x:c r="M34" s="14" t="str"/>
    </x:row>
    <x:row r="35" ht="50" customHeight="1">
      <x:c r="A35" s="9" t="n">
        <x:v>46297</x:v>
      </x:c>
      <x:c r="B35" s="10" t="str">
        <x:v>NXPI</x:v>
      </x:c>
      <x:c r="C35" s="33" t="n">
        <x:v>243.66</x:v>
      </x:c>
      <x:c r="D35" s="33" t="n">
        <x:v>243.66</x:v>
      </x:c>
      <x:c r="E35" s="33" t="n">
        <x:v>0</x:v>
      </x:c>
      <x:c r="F35" s="37" t="n">
        <x:v>1</x:v>
      </x:c>
      <x:c r="G35" s="10" t="str">
        <x:v>XNAS</x:v>
      </x:c>
      <x:c r="H35" s="10" t="str">
        <x:v>XNAS</x:v>
      </x:c>
      <x:c r="I35" s="32" t="str">
        <x:f>IF(AND(G35=H35,C35&gt;0,ABS(C35-'Prices'!H35)&lt;=MAX(0.01,'Prices'!H35*0.000001)),"Match","Mismatch")</x:f>
        <x:v>Match</x:v>
      </x:c>
      <x:c r="J35" s="16" t="str">
        <x:v>data/bspi15/raw/marketstack/2026-10-09T11-49-33-071Z/constituents-v2.json</x:v>
      </x:c>
      <x:c r="K35" s="16" t="str"/>
      <x:c r="L35" s="39" t="n">
        <x:v>46304.492743877316</x:v>
      </x:c>
      <x:c r="M35" s="16" t="str"/>
    </x:row>
    <x:row r="36" ht="50" customHeight="1">
      <x:c r="A36" s="8" t="n">
        <x:v>46297</x:v>
      </x:c>
      <x:c r="B36" s="2" t="str">
        <x:v>6383</x:v>
      </x:c>
      <x:c r="C36" s="17" t="n">
        <x:v>5851</x:v>
      </x:c>
      <x:c r="D36" s="17" t="n">
        <x:v>5851</x:v>
      </x:c>
      <x:c r="E36" s="17" t="n">
        <x:v>0</x:v>
      </x:c>
      <x:c r="F36" s="36" t="n">
        <x:v>1</x:v>
      </x:c>
      <x:c r="G36" s="2" t="str">
        <x:v>XJPX</x:v>
      </x:c>
      <x:c r="H36" s="2" t="str">
        <x:v>XJPX</x:v>
      </x:c>
      <x:c r="I36" s="31" t="str">
        <x:f>IF(AND(G36=H36,C36&gt;0,ABS(C36-'Prices'!H36)&lt;=MAX(0.01,'Prices'!H36*0.000001)),"Match","Mismatch")</x:f>
        <x:v>Match</x:v>
      </x:c>
      <x:c r="J36" s="14" t="str">
        <x:v>data/bspi15/raw/marketstack/2026-10-09T11-49-33-071Z/constituents-v2.json</x:v>
      </x:c>
      <x:c r="K36" s="14" t="str"/>
      <x:c r="L36" s="38" t="n">
        <x:v>46304.492743877316</x:v>
      </x:c>
      <x:c r="M36" s="14" t="str"/>
    </x:row>
    <x:row r="37" ht="50" customHeight="1">
      <x:c r="A37" s="9" t="n">
        <x:v>46297</x:v>
      </x:c>
      <x:c r="B37" s="10" t="str">
        <x:v>HEXA B</x:v>
      </x:c>
      <x:c r="C37" s="33" t="n">
        <x:v>101.15</x:v>
      </x:c>
      <x:c r="D37" s="33" t="n">
        <x:v>101.15</x:v>
      </x:c>
      <x:c r="E37" s="33" t="n">
        <x:v>0</x:v>
      </x:c>
      <x:c r="F37" s="37" t="n">
        <x:v>1</x:v>
      </x:c>
      <x:c r="G37" s="10" t="str">
        <x:v>XSTO</x:v>
      </x:c>
      <x:c r="H37" s="10" t="str">
        <x:v>XSTO</x:v>
      </x:c>
      <x:c r="I37" s="32" t="str">
        <x:f>IF(AND(G37=H37,C37&gt;0,ABS(C37-'Prices'!H37)&lt;=MAX(0.01,'Prices'!H37*0.000001)),"Match","Mismatch")</x:f>
        <x:v>Match</x:v>
      </x:c>
      <x:c r="J37" s="16" t="str">
        <x:v>data/bspi15/raw/marketstack/2026-10-09T11-49-33-071Z/constituents-v2.json</x:v>
      </x:c>
      <x:c r="K37" s="16" t="str"/>
      <x:c r="L37" s="39" t="n">
        <x:v>46304.492743877316</x:v>
      </x:c>
      <x:c r="M37" s="16" t="str"/>
    </x:row>
    <x:row r="38" ht="50" customHeight="1">
      <x:c r="A38" s="8" t="n">
        <x:v>46297</x:v>
      </x:c>
      <x:c r="B38" s="2" t="str">
        <x:v>S&amp;P 500</x:v>
      </x:c>
      <x:c r="C38" s="17" t="n">
        <x:v>7722.72</x:v>
      </x:c>
      <x:c r="D38" s="17" t="n">
        <x:v>7722.72</x:v>
      </x:c>
      <x:c r="E38" s="17" t="n">
        <x:v>0</x:v>
      </x:c>
      <x:c r="F38" s="36" t="n">
        <x:v>1</x:v>
      </x:c>
      <x:c r="G38" s="2" t="str">
        <x:v>INDX</x:v>
      </x:c>
      <x:c r="H38" s="2" t="str">
        <x:v>INDX</x:v>
      </x:c>
      <x:c r="I38" s="31" t="str">
        <x:f>IF(AND(G38=H38,C38&gt;0,ABS(C38-'Prices'!H38)&lt;=MAX(0.01,'Prices'!H38*0.000001)),"Match","Mismatch")</x:f>
        <x:v>Match</x:v>
      </x:c>
      <x:c r="J38" s="14" t="str">
        <x:v>data/bspi15/raw/marketstack/2026-10-09T11-49-33-071Z/benchmarks-v1.json</x:v>
      </x:c>
      <x:c r="K38" s="14" t="str"/>
      <x:c r="L38" s="38" t="n">
        <x:v>46304.492743877316</x:v>
      </x:c>
      <x:c r="M38" s="14" t="str"/>
    </x:row>
    <x:row r="39" ht="50" customHeight="1">
      <x:c r="A39" s="9" t="n">
        <x:v>46297</x:v>
      </x:c>
      <x:c r="B39" s="10" t="str">
        <x:v>Nasdaq Composite</x:v>
      </x:c>
      <x:c r="C39" s="33" t="n">
        <x:v>27190.8594</x:v>
      </x:c>
      <x:c r="D39" s="33" t="n">
        <x:v>27190.8594</x:v>
      </x:c>
      <x:c r="E39" s="33" t="n">
        <x:v>0</x:v>
      </x:c>
      <x:c r="F39" s="37" t="n">
        <x:v>1</x:v>
      </x:c>
      <x:c r="G39" s="10" t="str">
        <x:v>INDX</x:v>
      </x:c>
      <x:c r="H39" s="10" t="str">
        <x:v>INDX</x:v>
      </x:c>
      <x:c r="I39" s="32" t="str">
        <x:f>IF(AND(G39=H39,C39&gt;0,ABS(C39-'Prices'!H39)&lt;=MAX(0.01,'Prices'!H39*0.000001)),"Match","Mismatch")</x:f>
        <x:v>Match</x:v>
      </x:c>
      <x:c r="J39" s="16" t="str">
        <x:v>data/bspi15/raw/marketstack/2026-10-09T11-49-33-071Z/benchmarks-v1.json</x:v>
      </x:c>
      <x:c r="K39" s="16" t="str"/>
      <x:c r="L39" s="39" t="n">
        <x:v>46304.492743877316</x:v>
      </x:c>
      <x:c r="M39" s="16" t="str"/>
    </x:row>
    <x:row r="40" ht="50" customHeight="1">
      <x:c r="A40" s="8" t="n">
        <x:v>46300</x:v>
      </x:c>
      <x:c r="B40" s="2" t="str">
        <x:v>6954</x:v>
      </x:c>
      <x:c r="C40" s="17" t="n">
        <x:v>6186</x:v>
      </x:c>
      <x:c r="D40" s="17" t="n">
        <x:v>6186</x:v>
      </x:c>
      <x:c r="E40" s="17" t="n">
        <x:v>0</x:v>
      </x:c>
      <x:c r="F40" s="36" t="n">
        <x:v>1</x:v>
      </x:c>
      <x:c r="G40" s="2" t="str">
        <x:v>XJPX</x:v>
      </x:c>
      <x:c r="H40" s="2" t="str">
        <x:v>XJPX</x:v>
      </x:c>
      <x:c r="I40" s="31" t="str">
        <x:f>IF(AND(G40=H40,C40&gt;0,ABS(C40-'Prices'!H40)&lt;=MAX(0.01,'Prices'!H40*0.000001)),"Match","Mismatch")</x:f>
        <x:v>Match</x:v>
      </x:c>
      <x:c r="J40" s="14" t="str">
        <x:v>data/bspi15/raw/marketstack/2026-10-09T11-49-33-071Z/constituents-v2.json</x:v>
      </x:c>
      <x:c r="K40" s="14" t="str"/>
      <x:c r="L40" s="38" t="n">
        <x:v>46304.492743877316</x:v>
      </x:c>
      <x:c r="M40" s="14" t="str"/>
    </x:row>
    <x:row r="41" ht="50" customHeight="1">
      <x:c r="A41" s="9" t="n">
        <x:v>46300</x:v>
      </x:c>
      <x:c r="B41" s="10" t="str">
        <x:v>6506</x:v>
      </x:c>
      <x:c r="C41" s="33" t="n">
        <x:v>4931</x:v>
      </x:c>
      <x:c r="D41" s="33" t="n">
        <x:v>4931</x:v>
      </x:c>
      <x:c r="E41" s="33" t="n">
        <x:v>0</x:v>
      </x:c>
      <x:c r="F41" s="37" t="n">
        <x:v>1</x:v>
      </x:c>
      <x:c r="G41" s="10" t="str">
        <x:v>XJPX</x:v>
      </x:c>
      <x:c r="H41" s="10" t="str">
        <x:v>XJPX</x:v>
      </x:c>
      <x:c r="I41" s="32" t="str">
        <x:f>IF(AND(G41=H41,C41&gt;0,ABS(C41-'Prices'!H41)&lt;=MAX(0.01,'Prices'!H41*0.000001)),"Match","Mismatch")</x:f>
        <x:v>Match</x:v>
      </x:c>
      <x:c r="J41" s="16" t="str">
        <x:v>data/bspi15/raw/marketstack/2026-10-09T11-49-33-071Z/constituents-v2.json</x:v>
      </x:c>
      <x:c r="K41" s="16" t="str"/>
      <x:c r="L41" s="39" t="n">
        <x:v>46304.492743877316</x:v>
      </x:c>
      <x:c r="M41" s="16" t="str"/>
    </x:row>
    <x:row r="42" ht="50" customHeight="1">
      <x:c r="A42" s="8" t="n">
        <x:v>46300</x:v>
      </x:c>
      <x:c r="B42" s="13" t="str">
        <x:v>002747</x:v>
      </x:c>
      <x:c r="C42" s="17" t="n">
        <x:v>28.22</x:v>
      </x:c>
      <x:c r="D42" s="17" t="n">
        <x:v>28.22</x:v>
      </x:c>
      <x:c r="E42" s="17" t="n">
        <x:v>0</x:v>
      </x:c>
      <x:c r="F42" s="36" t="n">
        <x:v>1</x:v>
      </x:c>
      <x:c r="G42" s="2" t="str">
        <x:v>XSHE</x:v>
      </x:c>
      <x:c r="H42" s="2" t="str">
        <x:v>XSHE</x:v>
      </x:c>
      <x:c r="I42" s="31" t="str">
        <x:f>IF(AND(G42=H42,C42&gt;0,ABS(C42-'Prices'!H42)&lt;=MAX(0.01,'Prices'!H42*0.000001)),"Verified closure","Mismatch")</x:f>
        <x:v>Verified closure</x:v>
      </x:c>
      <x:c r="J42" s="14" t="str">
        <x:v>data/bspi15/raw/marketstack/2026-10-09T11-49-33-071Z/constituents-v2.json</x:v>
      </x:c>
      <x:c r="K42" s="14" t="str">
        <x:v>https://www.szse.cn/disclosure/notice/t20251222_618087.html</x:v>
      </x:c>
      <x:c r="L42" s="38" t="n">
        <x:v>46304.492743877316</x:v>
      </x:c>
      <x:c r="M42" s="14" t="str"/>
    </x:row>
    <x:row r="43" ht="50" customHeight="1">
      <x:c r="A43" s="9" t="n">
        <x:v>46300</x:v>
      </x:c>
      <x:c r="B43" s="10" t="str">
        <x:v>TER</x:v>
      </x:c>
      <x:c r="C43" s="33" t="n">
        <x:v>444.53</x:v>
      </x:c>
      <x:c r="D43" s="33" t="n">
        <x:v>444.53</x:v>
      </x:c>
      <x:c r="E43" s="33" t="n">
        <x:v>0</x:v>
      </x:c>
      <x:c r="F43" s="37" t="n">
        <x:v>1</x:v>
      </x:c>
      <x:c r="G43" s="10" t="str">
        <x:v>XNAS</x:v>
      </x:c>
      <x:c r="H43" s="10" t="str">
        <x:v>XNAS</x:v>
      </x:c>
      <x:c r="I43" s="32" t="str">
        <x:f>IF(AND(G43=H43,C43&gt;0,ABS(C43-'Prices'!H43)&lt;=MAX(0.01,'Prices'!H43*0.000001)),"Match","Mismatch")</x:f>
        <x:v>Match</x:v>
      </x:c>
      <x:c r="J43" s="16" t="str">
        <x:v>data/bspi15/raw/marketstack/2026-10-09T11-49-33-071Z/constituents-v2.json</x:v>
      </x:c>
      <x:c r="K43" s="16" t="str"/>
      <x:c r="L43" s="39" t="n">
        <x:v>46304.492743877316</x:v>
      </x:c>
      <x:c r="M43" s="16" t="str"/>
    </x:row>
    <x:row r="44" ht="50" customHeight="1">
      <x:c r="A44" s="8" t="n">
        <x:v>46300</x:v>
      </x:c>
      <x:c r="B44" s="2" t="str">
        <x:v>6268</x:v>
      </x:c>
      <x:c r="C44" s="17" t="n">
        <x:v>4979</x:v>
      </x:c>
      <x:c r="D44" s="17" t="n">
        <x:v>4979</x:v>
      </x:c>
      <x:c r="E44" s="17" t="n">
        <x:v>0</x:v>
      </x:c>
      <x:c r="F44" s="36" t="n">
        <x:v>1</x:v>
      </x:c>
      <x:c r="G44" s="2" t="str">
        <x:v>XJPX</x:v>
      </x:c>
      <x:c r="H44" s="2" t="str">
        <x:v>XJPX</x:v>
      </x:c>
      <x:c r="I44" s="31" t="str">
        <x:f>IF(AND(G44=H44,C44&gt;0,ABS(C44-'Prices'!H44)&lt;=MAX(0.01,'Prices'!H44*0.000001)),"Match","Mismatch")</x:f>
        <x:v>Match</x:v>
      </x:c>
      <x:c r="J44" s="14" t="str">
        <x:v>data/bspi15/raw/marketstack/2026-10-09T11-49-33-071Z/constituents-v2.json</x:v>
      </x:c>
      <x:c r="K44" s="14" t="str"/>
      <x:c r="L44" s="38" t="n">
        <x:v>46304.492743877316</x:v>
      </x:c>
      <x:c r="M44" s="14" t="str"/>
    </x:row>
    <x:row r="45" ht="50" customHeight="1">
      <x:c r="A45" s="9" t="n">
        <x:v>46300</x:v>
      </x:c>
      <x:c r="B45" s="10" t="str">
        <x:v>300124</x:v>
      </x:c>
      <x:c r="C45" s="33" t="n">
        <x:v>51.9</x:v>
      </x:c>
      <x:c r="D45" s="33" t="n">
        <x:v>51.9</x:v>
      </x:c>
      <x:c r="E45" s="33" t="n">
        <x:v>0</x:v>
      </x:c>
      <x:c r="F45" s="37" t="n">
        <x:v>1</x:v>
      </x:c>
      <x:c r="G45" s="10" t="str">
        <x:v>XSHE</x:v>
      </x:c>
      <x:c r="H45" s="10" t="str">
        <x:v>XSHE</x:v>
      </x:c>
      <x:c r="I45" s="32" t="str">
        <x:f>IF(AND(G45=H45,C45&gt;0,ABS(C45-'Prices'!H45)&lt;=MAX(0.01,'Prices'!H45*0.000001)),"Verified closure","Mismatch")</x:f>
        <x:v>Verified closure</x:v>
      </x:c>
      <x:c r="J45" s="16" t="str">
        <x:v>data/bspi15/raw/marketstack/2026-10-09T11-49-33-071Z/constituents-v2.json</x:v>
      </x:c>
      <x:c r="K45" s="16" t="str">
        <x:v>https://www.szse.cn/disclosure/notice/t20251222_618087.html</x:v>
      </x:c>
      <x:c r="L45" s="39" t="n">
        <x:v>46304.492743877316</x:v>
      </x:c>
      <x:c r="M45" s="16" t="str"/>
    </x:row>
    <x:row r="46" ht="50" customHeight="1">
      <x:c r="A46" s="8" t="n">
        <x:v>46300</x:v>
      </x:c>
      <x:c r="B46" s="2" t="str">
        <x:v>6861</x:v>
      </x:c>
      <x:c r="C46" s="17" t="n">
        <x:v>81680</x:v>
      </x:c>
      <x:c r="D46" s="17" t="n">
        <x:v>81680</x:v>
      </x:c>
      <x:c r="E46" s="17" t="n">
        <x:v>0</x:v>
      </x:c>
      <x:c r="F46" s="36" t="n">
        <x:v>1</x:v>
      </x:c>
      <x:c r="G46" s="2" t="str">
        <x:v>XJPX</x:v>
      </x:c>
      <x:c r="H46" s="2" t="str">
        <x:v>XJPX</x:v>
      </x:c>
      <x:c r="I46" s="31" t="str">
        <x:f>IF(AND(G46=H46,C46&gt;0,ABS(C46-'Prices'!H46)&lt;=MAX(0.01,'Prices'!H46*0.000001)),"Match","Mismatch")</x:f>
        <x:v>Match</x:v>
      </x:c>
      <x:c r="J46" s="14" t="str">
        <x:v>data/bspi15/raw/marketstack/2026-10-09T11-49-33-071Z/constituents-v2.json</x:v>
      </x:c>
      <x:c r="K46" s="14" t="str"/>
      <x:c r="L46" s="38" t="n">
        <x:v>46304.492743877316</x:v>
      </x:c>
      <x:c r="M46" s="14" t="str"/>
    </x:row>
    <x:row r="47" ht="50" customHeight="1">
      <x:c r="A47" s="9" t="n">
        <x:v>46300</x:v>
      </x:c>
      <x:c r="B47" s="10" t="str">
        <x:v>CGNX</x:v>
      </x:c>
      <x:c r="C47" s="33" t="n">
        <x:v>64.37</x:v>
      </x:c>
      <x:c r="D47" s="33" t="n">
        <x:v>64.37</x:v>
      </x:c>
      <x:c r="E47" s="33" t="n">
        <x:v>0</x:v>
      </x:c>
      <x:c r="F47" s="37" t="n">
        <x:v>1</x:v>
      </x:c>
      <x:c r="G47" s="10" t="str">
        <x:v>XNAS</x:v>
      </x:c>
      <x:c r="H47" s="10" t="str">
        <x:v>XNAS</x:v>
      </x:c>
      <x:c r="I47" s="32" t="str">
        <x:f>IF(AND(G47=H47,C47&gt;0,ABS(C47-'Prices'!H47)&lt;=MAX(0.01,'Prices'!H47*0.000001)),"Match","Mismatch")</x:f>
        <x:v>Match</x:v>
      </x:c>
      <x:c r="J47" s="16" t="str">
        <x:v>data/bspi15/raw/marketstack/2026-10-09T11-49-33-071Z/constituents-v2.json</x:v>
      </x:c>
      <x:c r="K47" s="16" t="str"/>
      <x:c r="L47" s="39" t="n">
        <x:v>46304.492743877316</x:v>
      </x:c>
      <x:c r="M47" s="16" t="str"/>
    </x:row>
    <x:row r="48" ht="50" customHeight="1">
      <x:c r="A48" s="8" t="n">
        <x:v>46300</x:v>
      </x:c>
      <x:c r="B48" s="2" t="str">
        <x:v>OUST</x:v>
      </x:c>
      <x:c r="C48" s="17" t="n">
        <x:v>44.12</x:v>
      </x:c>
      <x:c r="D48" s="17" t="n">
        <x:v>44.12</x:v>
      </x:c>
      <x:c r="E48" s="17" t="n">
        <x:v>0</x:v>
      </x:c>
      <x:c r="F48" s="36" t="n">
        <x:v>1</x:v>
      </x:c>
      <x:c r="G48" s="2" t="str">
        <x:v>XNAS</x:v>
      </x:c>
      <x:c r="H48" s="2" t="str">
        <x:v>XNYS</x:v>
      </x:c>
      <x:c r="I48" s="31" t="str">
        <x:f>IF(AND(OR(G48=H48,AND(B48="OUST",G48="XNAS",H48="XNYS",LEFT(M48,34)="ouster-marketstack-legacy-nyse-tag")),C48&gt;0,ABS(C48-'Prices'!H48)&lt;=MAX(0.01,'Prices'!H48*0.000001)),"Approved MIC exception","Mismatch")</x:f>
        <x:v>Approved MIC exception</x:v>
      </x:c>
      <x:c r="J48" s="14" t="str">
        <x:v>data/bspi15/raw/marketstack/2026-10-09T11-49-33-071Z/constituents-v2.json</x:v>
      </x:c>
      <x:c r="K48" s="14" t="str"/>
      <x:c r="L48" s="38" t="n">
        <x:v>46304.492743877316</x:v>
      </x:c>
      <x:c r="M48" s="14" t="str">
        <x:v>ouster-marketstack-legacy-nyse-tag; approved 2026-10-14; data/bspi15/provider-mic-exceptions.json</x:v>
      </x:c>
    </x:row>
    <x:row r="49" ht="50" customHeight="1">
      <x:c r="A49" s="9" t="n">
        <x:v>46300</x:v>
      </x:c>
      <x:c r="B49" s="10" t="str">
        <x:v>HSAI</x:v>
      </x:c>
      <x:c r="C49" s="33" t="n">
        <x:v>15.91</x:v>
      </x:c>
      <x:c r="D49" s="33" t="n">
        <x:v>15.91</x:v>
      </x:c>
      <x:c r="E49" s="33" t="n">
        <x:v>0</x:v>
      </x:c>
      <x:c r="F49" s="37" t="n">
        <x:v>1</x:v>
      </x:c>
      <x:c r="G49" s="10" t="str">
        <x:v>XNAS</x:v>
      </x:c>
      <x:c r="H49" s="10" t="str">
        <x:v>XNAS</x:v>
      </x:c>
      <x:c r="I49" s="32" t="str">
        <x:f>IF(AND(G49=H49,C49&gt;0,ABS(C49-'Prices'!H49)&lt;=MAX(0.01,'Prices'!H49*0.000001)),"Match","Mismatch")</x:f>
        <x:v>Match</x:v>
      </x:c>
      <x:c r="J49" s="16" t="str">
        <x:v>data/bspi15/raw/marketstack/2026-10-09T11-49-33-071Z/constituents-v2.json</x:v>
      </x:c>
      <x:c r="K49" s="16" t="str"/>
      <x:c r="L49" s="39" t="n">
        <x:v>46304.492743877316</x:v>
      </x:c>
      <x:c r="M49" s="16" t="str"/>
    </x:row>
    <x:row r="50" ht="50" customHeight="1">
      <x:c r="A50" s="8" t="n">
        <x:v>46300</x:v>
      </x:c>
      <x:c r="B50" s="2" t="str">
        <x:v>ROK</x:v>
      </x:c>
      <x:c r="C50" s="17" t="n">
        <x:v>455.18</x:v>
      </x:c>
      <x:c r="D50" s="17" t="n">
        <x:v>455.18</x:v>
      </x:c>
      <x:c r="E50" s="17" t="n">
        <x:v>0</x:v>
      </x:c>
      <x:c r="F50" s="36" t="n">
        <x:v>1</x:v>
      </x:c>
      <x:c r="G50" s="2" t="str">
        <x:v>XNYS</x:v>
      </x:c>
      <x:c r="H50" s="2" t="str">
        <x:v>XNYS</x:v>
      </x:c>
      <x:c r="I50" s="31" t="str">
        <x:f>IF(AND(G50=H50,C50&gt;0,ABS(C50-'Prices'!H50)&lt;=MAX(0.01,'Prices'!H50*0.000001)),"Match","Mismatch")</x:f>
        <x:v>Match</x:v>
      </x:c>
      <x:c r="J50" s="14" t="str">
        <x:v>data/bspi15/raw/marketstack/2026-10-09T11-49-33-071Z/constituents-v2.json</x:v>
      </x:c>
      <x:c r="K50" s="14" t="str"/>
      <x:c r="L50" s="38" t="n">
        <x:v>46304.492743877316</x:v>
      </x:c>
      <x:c r="M50" s="14" t="str"/>
    </x:row>
    <x:row r="51" ht="50" customHeight="1">
      <x:c r="A51" s="9" t="n">
        <x:v>46300</x:v>
      </x:c>
      <x:c r="B51" s="10" t="str">
        <x:v>SIE</x:v>
      </x:c>
      <x:c r="C51" s="33" t="n">
        <x:v>275</x:v>
      </x:c>
      <x:c r="D51" s="33" t="n">
        <x:v>275</x:v>
      </x:c>
      <x:c r="E51" s="33" t="n">
        <x:v>0</x:v>
      </x:c>
      <x:c r="F51" s="37" t="n">
        <x:v>1</x:v>
      </x:c>
      <x:c r="G51" s="10" t="str">
        <x:v>XETR</x:v>
      </x:c>
      <x:c r="H51" s="10" t="str">
        <x:v>XETR</x:v>
      </x:c>
      <x:c r="I51" s="32" t="str">
        <x:f>IF(AND(G51=H51,C51&gt;0,ABS(C51-'Prices'!H51)&lt;=MAX(0.01,'Prices'!H51*0.000001)),"Match","Mismatch")</x:f>
        <x:v>Match</x:v>
      </x:c>
      <x:c r="J51" s="16" t="str">
        <x:v>data/bspi15/raw/marketstack/2026-10-09T11-49-33-071Z/constituents-v2.json</x:v>
      </x:c>
      <x:c r="K51" s="16" t="str"/>
      <x:c r="L51" s="39" t="n">
        <x:v>46304.492743877316</x:v>
      </x:c>
      <x:c r="M51" s="16" t="str"/>
    </x:row>
    <x:row r="52" ht="50" customHeight="1">
      <x:c r="A52" s="8" t="n">
        <x:v>46300</x:v>
      </x:c>
      <x:c r="B52" s="2" t="str">
        <x:v>NXPI</x:v>
      </x:c>
      <x:c r="C52" s="17" t="n">
        <x:v>241.97</x:v>
      </x:c>
      <x:c r="D52" s="17" t="n">
        <x:v>241.97</x:v>
      </x:c>
      <x:c r="E52" s="17" t="n">
        <x:v>0</x:v>
      </x:c>
      <x:c r="F52" s="36" t="n">
        <x:v>1</x:v>
      </x:c>
      <x:c r="G52" s="2" t="str">
        <x:v>XNAS</x:v>
      </x:c>
      <x:c r="H52" s="2" t="str">
        <x:v>XNAS</x:v>
      </x:c>
      <x:c r="I52" s="31" t="str">
        <x:f>IF(AND(G52=H52,C52&gt;0,ABS(C52-'Prices'!H52)&lt;=MAX(0.01,'Prices'!H52*0.000001)),"Match","Mismatch")</x:f>
        <x:v>Match</x:v>
      </x:c>
      <x:c r="J52" s="14" t="str">
        <x:v>data/bspi15/raw/marketstack/2026-10-09T11-49-33-071Z/constituents-v2.json</x:v>
      </x:c>
      <x:c r="K52" s="14" t="str"/>
      <x:c r="L52" s="38" t="n">
        <x:v>46304.492743877316</x:v>
      </x:c>
      <x:c r="M52" s="14" t="str"/>
    </x:row>
    <x:row r="53" ht="50" customHeight="1">
      <x:c r="A53" s="9" t="n">
        <x:v>46300</x:v>
      </x:c>
      <x:c r="B53" s="10" t="str">
        <x:v>6383</x:v>
      </x:c>
      <x:c r="C53" s="33" t="n">
        <x:v>5874</x:v>
      </x:c>
      <x:c r="D53" s="33" t="n">
        <x:v>5874</x:v>
      </x:c>
      <x:c r="E53" s="33" t="n">
        <x:v>0</x:v>
      </x:c>
      <x:c r="F53" s="37" t="n">
        <x:v>1</x:v>
      </x:c>
      <x:c r="G53" s="10" t="str">
        <x:v>XJPX</x:v>
      </x:c>
      <x:c r="H53" s="10" t="str">
        <x:v>XJPX</x:v>
      </x:c>
      <x:c r="I53" s="32" t="str">
        <x:f>IF(AND(G53=H53,C53&gt;0,ABS(C53-'Prices'!H53)&lt;=MAX(0.01,'Prices'!H53*0.000001)),"Match","Mismatch")</x:f>
        <x:v>Match</x:v>
      </x:c>
      <x:c r="J53" s="16" t="str">
        <x:v>data/bspi15/raw/marketstack/2026-10-09T11-49-33-071Z/constituents-v2.json</x:v>
      </x:c>
      <x:c r="K53" s="16" t="str"/>
      <x:c r="L53" s="39" t="n">
        <x:v>46304.492743877316</x:v>
      </x:c>
      <x:c r="M53" s="16" t="str"/>
    </x:row>
    <x:row r="54" ht="50" customHeight="1">
      <x:c r="A54" s="8" t="n">
        <x:v>46300</x:v>
      </x:c>
      <x:c r="B54" s="2" t="str">
        <x:v>HEXA B</x:v>
      </x:c>
      <x:c r="C54" s="17" t="n">
        <x:v>102.15</x:v>
      </x:c>
      <x:c r="D54" s="17" t="n">
        <x:v>102.15</x:v>
      </x:c>
      <x:c r="E54" s="17" t="n">
        <x:v>0</x:v>
      </x:c>
      <x:c r="F54" s="36" t="n">
        <x:v>1</x:v>
      </x:c>
      <x:c r="G54" s="2" t="str">
        <x:v>XSTO</x:v>
      </x:c>
      <x:c r="H54" s="2" t="str">
        <x:v>XSTO</x:v>
      </x:c>
      <x:c r="I54" s="31" t="str">
        <x:f>IF(AND(G54=H54,C54&gt;0,ABS(C54-'Prices'!H54)&lt;=MAX(0.01,'Prices'!H54*0.000001)),"Match","Mismatch")</x:f>
        <x:v>Match</x:v>
      </x:c>
      <x:c r="J54" s="14" t="str">
        <x:v>data/bspi15/raw/marketstack/2026-10-09T11-49-33-071Z/constituents-v2.json</x:v>
      </x:c>
      <x:c r="K54" s="14" t="str"/>
      <x:c r="L54" s="38" t="n">
        <x:v>46304.492743877316</x:v>
      </x:c>
      <x:c r="M54" s="14" t="str"/>
    </x:row>
    <x:row r="55" ht="50" customHeight="1">
      <x:c r="A55" s="9" t="n">
        <x:v>46300</x:v>
      </x:c>
      <x:c r="B55" s="10" t="str">
        <x:v>S&amp;P 500</x:v>
      </x:c>
      <x:c r="C55" s="33" t="n">
        <x:v>7773.95</x:v>
      </x:c>
      <x:c r="D55" s="33" t="n">
        <x:v>7773.95</x:v>
      </x:c>
      <x:c r="E55" s="33" t="n">
        <x:v>0</x:v>
      </x:c>
      <x:c r="F55" s="37" t="n">
        <x:v>1</x:v>
      </x:c>
      <x:c r="G55" s="10" t="str">
        <x:v>INDX</x:v>
      </x:c>
      <x:c r="H55" s="10" t="str">
        <x:v>INDX</x:v>
      </x:c>
      <x:c r="I55" s="32" t="str">
        <x:f>IF(AND(G55=H55,C55&gt;0,ABS(C55-'Prices'!H55)&lt;=MAX(0.01,'Prices'!H55*0.000001)),"Match","Mismatch")</x:f>
        <x:v>Match</x:v>
      </x:c>
      <x:c r="J55" s="16" t="str">
        <x:v>data/bspi15/raw/marketstack/2026-10-09T11-49-33-071Z/benchmarks-v1.json</x:v>
      </x:c>
      <x:c r="K55" s="16" t="str"/>
      <x:c r="L55" s="39" t="n">
        <x:v>46304.492743877316</x:v>
      </x:c>
      <x:c r="M55" s="16" t="str"/>
    </x:row>
    <x:row r="56" ht="50" customHeight="1">
      <x:c r="A56" s="8" t="n">
        <x:v>46300</x:v>
      </x:c>
      <x:c r="B56" s="2" t="str">
        <x:v>Nasdaq Composite</x:v>
      </x:c>
      <x:c r="C56" s="17" t="n">
        <x:v>27477.3105</x:v>
      </x:c>
      <x:c r="D56" s="17" t="n">
        <x:v>27477.3105</x:v>
      </x:c>
      <x:c r="E56" s="17" t="n">
        <x:v>0</x:v>
      </x:c>
      <x:c r="F56" s="36" t="n">
        <x:v>1</x:v>
      </x:c>
      <x:c r="G56" s="2" t="str">
        <x:v>INDX</x:v>
      </x:c>
      <x:c r="H56" s="2" t="str">
        <x:v>INDX</x:v>
      </x:c>
      <x:c r="I56" s="31" t="str">
        <x:f>IF(AND(G56=H56,C56&gt;0,ABS(C56-'Prices'!H56)&lt;=MAX(0.01,'Prices'!H56*0.000001)),"Match","Mismatch")</x:f>
        <x:v>Match</x:v>
      </x:c>
      <x:c r="J56" s="14" t="str">
        <x:v>data/bspi15/raw/marketstack/2026-10-09T11-49-33-071Z/benchmarks-v1.json</x:v>
      </x:c>
      <x:c r="K56" s="14" t="str"/>
      <x:c r="L56" s="38" t="n">
        <x:v>46304.492743877316</x:v>
      </x:c>
      <x:c r="M56" s="14" t="str"/>
    </x:row>
    <x:row r="57" ht="50" customHeight="1">
      <x:c r="A57" s="9" t="n">
        <x:v>46301</x:v>
      </x:c>
      <x:c r="B57" s="10" t="str">
        <x:v>6954</x:v>
      </x:c>
      <x:c r="C57" s="33" t="n">
        <x:v>6220</x:v>
      </x:c>
      <x:c r="D57" s="33" t="n">
        <x:v>6220</x:v>
      </x:c>
      <x:c r="E57" s="33" t="n">
        <x:v>0</x:v>
      </x:c>
      <x:c r="F57" s="37" t="n">
        <x:v>1</x:v>
      </x:c>
      <x:c r="G57" s="10" t="str">
        <x:v>XJPX</x:v>
      </x:c>
      <x:c r="H57" s="10" t="str">
        <x:v>XJPX</x:v>
      </x:c>
      <x:c r="I57" s="32" t="str">
        <x:f>IF(AND(G57=H57,C57&gt;0,ABS(C57-'Prices'!H57)&lt;=MAX(0.01,'Prices'!H57*0.000001)),"Match","Mismatch")</x:f>
        <x:v>Match</x:v>
      </x:c>
      <x:c r="J57" s="16" t="str">
        <x:v>data/bspi15/raw/marketstack/2026-10-09T11-49-33-071Z/constituents-v2.json</x:v>
      </x:c>
      <x:c r="K57" s="16" t="str"/>
      <x:c r="L57" s="39" t="n">
        <x:v>46304.492743877316</x:v>
      </x:c>
      <x:c r="M57" s="16" t="str"/>
    </x:row>
    <x:row r="58" ht="50" customHeight="1">
      <x:c r="A58" s="8" t="n">
        <x:v>46301</x:v>
      </x:c>
      <x:c r="B58" s="2" t="str">
        <x:v>6506</x:v>
      </x:c>
      <x:c r="C58" s="17" t="n">
        <x:v>4936</x:v>
      </x:c>
      <x:c r="D58" s="17" t="n">
        <x:v>4936</x:v>
      </x:c>
      <x:c r="E58" s="17" t="n">
        <x:v>0</x:v>
      </x:c>
      <x:c r="F58" s="36" t="n">
        <x:v>1</x:v>
      </x:c>
      <x:c r="G58" s="2" t="str">
        <x:v>XJPX</x:v>
      </x:c>
      <x:c r="H58" s="2" t="str">
        <x:v>XJPX</x:v>
      </x:c>
      <x:c r="I58" s="31" t="str">
        <x:f>IF(AND(G58=H58,C58&gt;0,ABS(C58-'Prices'!H58)&lt;=MAX(0.01,'Prices'!H58*0.000001)),"Match","Mismatch")</x:f>
        <x:v>Match</x:v>
      </x:c>
      <x:c r="J58" s="14" t="str">
        <x:v>data/bspi15/raw/marketstack/2026-10-09T11-49-33-071Z/constituents-v2.json</x:v>
      </x:c>
      <x:c r="K58" s="14" t="str"/>
      <x:c r="L58" s="38" t="n">
        <x:v>46304.492743877316</x:v>
      </x:c>
      <x:c r="M58" s="14" t="str"/>
    </x:row>
    <x:row r="59" ht="50" customHeight="1">
      <x:c r="A59" s="9" t="n">
        <x:v>46301</x:v>
      </x:c>
      <x:c r="B59" s="15" t="str">
        <x:v>002747</x:v>
      </x:c>
      <x:c r="C59" s="33" t="n">
        <x:v>28.22</x:v>
      </x:c>
      <x:c r="D59" s="33" t="n">
        <x:v>28.22</x:v>
      </x:c>
      <x:c r="E59" s="33" t="n">
        <x:v>0</x:v>
      </x:c>
      <x:c r="F59" s="37" t="n">
        <x:v>1</x:v>
      </x:c>
      <x:c r="G59" s="10" t="str">
        <x:v>XSHE</x:v>
      </x:c>
      <x:c r="H59" s="10" t="str">
        <x:v>XSHE</x:v>
      </x:c>
      <x:c r="I59" s="32" t="str">
        <x:f>IF(AND(G59=H59,C59&gt;0,ABS(C59-'Prices'!H59)&lt;=MAX(0.01,'Prices'!H59*0.000001)),"Verified closure","Mismatch")</x:f>
        <x:v>Verified closure</x:v>
      </x:c>
      <x:c r="J59" s="16" t="str">
        <x:v>data/bspi15/raw/marketstack/2026-10-09T11-49-33-071Z/constituents-v2.json</x:v>
      </x:c>
      <x:c r="K59" s="16" t="str">
        <x:v>https://www.szse.cn/disclosure/notice/t20251222_618087.html</x:v>
      </x:c>
      <x:c r="L59" s="39" t="n">
        <x:v>46304.492743877316</x:v>
      </x:c>
      <x:c r="M59" s="16" t="str"/>
    </x:row>
    <x:row r="60" ht="50" customHeight="1">
      <x:c r="A60" s="8" t="n">
        <x:v>46301</x:v>
      </x:c>
      <x:c r="B60" s="2" t="str">
        <x:v>TER</x:v>
      </x:c>
      <x:c r="C60" s="17" t="n">
        <x:v>430.32</x:v>
      </x:c>
      <x:c r="D60" s="17" t="n">
        <x:v>430.32</x:v>
      </x:c>
      <x:c r="E60" s="17" t="n">
        <x:v>0</x:v>
      </x:c>
      <x:c r="F60" s="36" t="n">
        <x:v>1</x:v>
      </x:c>
      <x:c r="G60" s="2" t="str">
        <x:v>XNAS</x:v>
      </x:c>
      <x:c r="H60" s="2" t="str">
        <x:v>XNAS</x:v>
      </x:c>
      <x:c r="I60" s="31" t="str">
        <x:f>IF(AND(G60=H60,C60&gt;0,ABS(C60-'Prices'!H60)&lt;=MAX(0.01,'Prices'!H60*0.000001)),"Match","Mismatch")</x:f>
        <x:v>Match</x:v>
      </x:c>
      <x:c r="J60" s="14" t="str">
        <x:v>data/bspi15/raw/marketstack/2026-10-09T11-49-33-071Z/constituents-v2.json</x:v>
      </x:c>
      <x:c r="K60" s="14" t="str"/>
      <x:c r="L60" s="38" t="n">
        <x:v>46304.492743877316</x:v>
      </x:c>
      <x:c r="M60" s="14" t="str"/>
    </x:row>
    <x:row r="61" ht="50" customHeight="1">
      <x:c r="A61" s="9" t="n">
        <x:v>46301</x:v>
      </x:c>
      <x:c r="B61" s="10" t="str">
        <x:v>6268</x:v>
      </x:c>
      <x:c r="C61" s="33" t="n">
        <x:v>4987</x:v>
      </x:c>
      <x:c r="D61" s="33" t="n">
        <x:v>4987</x:v>
      </x:c>
      <x:c r="E61" s="33" t="n">
        <x:v>0</x:v>
      </x:c>
      <x:c r="F61" s="37" t="n">
        <x:v>1</x:v>
      </x:c>
      <x:c r="G61" s="10" t="str">
        <x:v>XJPX</x:v>
      </x:c>
      <x:c r="H61" s="10" t="str">
        <x:v>XJPX</x:v>
      </x:c>
      <x:c r="I61" s="32" t="str">
        <x:f>IF(AND(G61=H61,C61&gt;0,ABS(C61-'Prices'!H61)&lt;=MAX(0.01,'Prices'!H61*0.000001)),"Match","Mismatch")</x:f>
        <x:v>Match</x:v>
      </x:c>
      <x:c r="J61" s="16" t="str">
        <x:v>data/bspi15/raw/marketstack/2026-10-09T11-49-33-071Z/constituents-v2.json</x:v>
      </x:c>
      <x:c r="K61" s="16" t="str"/>
      <x:c r="L61" s="39" t="n">
        <x:v>46304.492743877316</x:v>
      </x:c>
      <x:c r="M61" s="16" t="str"/>
    </x:row>
    <x:row r="62" ht="50" customHeight="1">
      <x:c r="A62" s="8" t="n">
        <x:v>46301</x:v>
      </x:c>
      <x:c r="B62" s="2" t="str">
        <x:v>300124</x:v>
      </x:c>
      <x:c r="C62" s="17" t="n">
        <x:v>51.9</x:v>
      </x:c>
      <x:c r="D62" s="17" t="n">
        <x:v>51.9</x:v>
      </x:c>
      <x:c r="E62" s="17" t="n">
        <x:v>0</x:v>
      </x:c>
      <x:c r="F62" s="36" t="n">
        <x:v>1</x:v>
      </x:c>
      <x:c r="G62" s="2" t="str">
        <x:v>XSHE</x:v>
      </x:c>
      <x:c r="H62" s="2" t="str">
        <x:v>XSHE</x:v>
      </x:c>
      <x:c r="I62" s="31" t="str">
        <x:f>IF(AND(G62=H62,C62&gt;0,ABS(C62-'Prices'!H62)&lt;=MAX(0.01,'Prices'!H62*0.000001)),"Verified closure","Mismatch")</x:f>
        <x:v>Verified closure</x:v>
      </x:c>
      <x:c r="J62" s="14" t="str">
        <x:v>data/bspi15/raw/marketstack/2026-10-09T11-49-33-071Z/constituents-v2.json</x:v>
      </x:c>
      <x:c r="K62" s="14" t="str">
        <x:v>https://www.szse.cn/disclosure/notice/t20251222_618087.html</x:v>
      </x:c>
      <x:c r="L62" s="38" t="n">
        <x:v>46304.492743877316</x:v>
      </x:c>
      <x:c r="M62" s="14" t="str"/>
    </x:row>
    <x:row r="63" ht="50" customHeight="1">
      <x:c r="A63" s="9" t="n">
        <x:v>46301</x:v>
      </x:c>
      <x:c r="B63" s="10" t="str">
        <x:v>6861</x:v>
      </x:c>
      <x:c r="C63" s="33" t="n">
        <x:v>81490</x:v>
      </x:c>
      <x:c r="D63" s="33" t="n">
        <x:v>81490</x:v>
      </x:c>
      <x:c r="E63" s="33" t="n">
        <x:v>0</x:v>
      </x:c>
      <x:c r="F63" s="37" t="n">
        <x:v>1</x:v>
      </x:c>
      <x:c r="G63" s="10" t="str">
        <x:v>XJPX</x:v>
      </x:c>
      <x:c r="H63" s="10" t="str">
        <x:v>XJPX</x:v>
      </x:c>
      <x:c r="I63" s="32" t="str">
        <x:f>IF(AND(G63=H63,C63&gt;0,ABS(C63-'Prices'!H63)&lt;=MAX(0.01,'Prices'!H63*0.000001)),"Match","Mismatch")</x:f>
        <x:v>Match</x:v>
      </x:c>
      <x:c r="J63" s="16" t="str">
        <x:v>data/bspi15/raw/marketstack/2026-10-09T11-49-33-071Z/constituents-v2.json</x:v>
      </x:c>
      <x:c r="K63" s="16" t="str"/>
      <x:c r="L63" s="39" t="n">
        <x:v>46304.492743877316</x:v>
      </x:c>
      <x:c r="M63" s="16" t="str"/>
    </x:row>
    <x:row r="64" ht="50" customHeight="1">
      <x:c r="A64" s="8" t="n">
        <x:v>46301</x:v>
      </x:c>
      <x:c r="B64" s="2" t="str">
        <x:v>CGNX</x:v>
      </x:c>
      <x:c r="C64" s="17" t="n">
        <x:v>66.35</x:v>
      </x:c>
      <x:c r="D64" s="17" t="n">
        <x:v>66.35</x:v>
      </x:c>
      <x:c r="E64" s="17" t="n">
        <x:v>0</x:v>
      </x:c>
      <x:c r="F64" s="36" t="n">
        <x:v>1</x:v>
      </x:c>
      <x:c r="G64" s="2" t="str">
        <x:v>XNAS</x:v>
      </x:c>
      <x:c r="H64" s="2" t="str">
        <x:v>XNAS</x:v>
      </x:c>
      <x:c r="I64" s="31" t="str">
        <x:f>IF(AND(G64=H64,C64&gt;0,ABS(C64-'Prices'!H64)&lt;=MAX(0.01,'Prices'!H64*0.000001)),"Match","Mismatch")</x:f>
        <x:v>Match</x:v>
      </x:c>
      <x:c r="J64" s="14" t="str">
        <x:v>data/bspi15/raw/marketstack/2026-10-09T11-49-33-071Z/constituents-v2.json</x:v>
      </x:c>
      <x:c r="K64" s="14" t="str"/>
      <x:c r="L64" s="38" t="n">
        <x:v>46304.492743877316</x:v>
      </x:c>
      <x:c r="M64" s="14" t="str"/>
    </x:row>
    <x:row r="65" ht="50" customHeight="1">
      <x:c r="A65" s="9" t="n">
        <x:v>46301</x:v>
      </x:c>
      <x:c r="B65" s="10" t="str">
        <x:v>OUST</x:v>
      </x:c>
      <x:c r="C65" s="33" t="n">
        <x:v>44.91</x:v>
      </x:c>
      <x:c r="D65" s="33" t="n">
        <x:v>44.91</x:v>
      </x:c>
      <x:c r="E65" s="33" t="n">
        <x:v>0</x:v>
      </x:c>
      <x:c r="F65" s="37" t="n">
        <x:v>1</x:v>
      </x:c>
      <x:c r="G65" s="10" t="str">
        <x:v>XNAS</x:v>
      </x:c>
      <x:c r="H65" s="10" t="str">
        <x:v>XNYS</x:v>
      </x:c>
      <x:c r="I65" s="32" t="str">
        <x:f>IF(AND(OR(G65=H65,AND(B65="OUST",G65="XNAS",H65="XNYS",LEFT(M65,34)="ouster-marketstack-legacy-nyse-tag")),C65&gt;0,ABS(C65-'Prices'!H65)&lt;=MAX(0.01,'Prices'!H65*0.000001)),"Approved MIC exception","Mismatch")</x:f>
        <x:v>Approved MIC exception</x:v>
      </x:c>
      <x:c r="J65" s="16" t="str">
        <x:v>data/bspi15/raw/marketstack/2026-10-09T11-49-33-071Z/constituents-v2.json</x:v>
      </x:c>
      <x:c r="K65" s="16" t="str"/>
      <x:c r="L65" s="39" t="n">
        <x:v>46304.492743877316</x:v>
      </x:c>
      <x:c r="M65" s="16" t="str">
        <x:v>ouster-marketstack-legacy-nyse-tag; approved 2026-10-14; data/bspi15/provider-mic-exceptions.json</x:v>
      </x:c>
    </x:row>
    <x:row r="66" ht="50" customHeight="1">
      <x:c r="A66" s="8" t="n">
        <x:v>46301</x:v>
      </x:c>
      <x:c r="B66" s="2" t="str">
        <x:v>HSAI</x:v>
      </x:c>
      <x:c r="C66" s="17" t="n">
        <x:v>16.27</x:v>
      </x:c>
      <x:c r="D66" s="17" t="n">
        <x:v>16.27</x:v>
      </x:c>
      <x:c r="E66" s="17" t="n">
        <x:v>0</x:v>
      </x:c>
      <x:c r="F66" s="36" t="n">
        <x:v>1</x:v>
      </x:c>
      <x:c r="G66" s="2" t="str">
        <x:v>XNAS</x:v>
      </x:c>
      <x:c r="H66" s="2" t="str">
        <x:v>XNAS</x:v>
      </x:c>
      <x:c r="I66" s="31" t="str">
        <x:f>IF(AND(G66=H66,C66&gt;0,ABS(C66-'Prices'!H66)&lt;=MAX(0.01,'Prices'!H66*0.000001)),"Match","Mismatch")</x:f>
        <x:v>Match</x:v>
      </x:c>
      <x:c r="J66" s="14" t="str">
        <x:v>data/bspi15/raw/marketstack/2026-10-09T11-49-33-071Z/constituents-v2.json</x:v>
      </x:c>
      <x:c r="K66" s="14" t="str"/>
      <x:c r="L66" s="38" t="n">
        <x:v>46304.492743877316</x:v>
      </x:c>
      <x:c r="M66" s="14" t="str"/>
    </x:row>
    <x:row r="67" ht="50" customHeight="1">
      <x:c r="A67" s="9" t="n">
        <x:v>46301</x:v>
      </x:c>
      <x:c r="B67" s="10" t="str">
        <x:v>ROK</x:v>
      </x:c>
      <x:c r="C67" s="33" t="n">
        <x:v>450.74</x:v>
      </x:c>
      <x:c r="D67" s="33" t="n">
        <x:v>450.74</x:v>
      </x:c>
      <x:c r="E67" s="33" t="n">
        <x:v>0</x:v>
      </x:c>
      <x:c r="F67" s="37" t="n">
        <x:v>1</x:v>
      </x:c>
      <x:c r="G67" s="10" t="str">
        <x:v>XNYS</x:v>
      </x:c>
      <x:c r="H67" s="10" t="str">
        <x:v>XNYS</x:v>
      </x:c>
      <x:c r="I67" s="32" t="str">
        <x:f>IF(AND(G67=H67,C67&gt;0,ABS(C67-'Prices'!H67)&lt;=MAX(0.01,'Prices'!H67*0.000001)),"Match","Mismatch")</x:f>
        <x:v>Match</x:v>
      </x:c>
      <x:c r="J67" s="16" t="str">
        <x:v>data/bspi15/raw/marketstack/2026-10-09T11-49-33-071Z/constituents-v2.json</x:v>
      </x:c>
      <x:c r="K67" s="16" t="str"/>
      <x:c r="L67" s="39" t="n">
        <x:v>46304.492743877316</x:v>
      </x:c>
      <x:c r="M67" s="16" t="str"/>
    </x:row>
    <x:row r="68" ht="50" customHeight="1">
      <x:c r="A68" s="8" t="n">
        <x:v>46301</x:v>
      </x:c>
      <x:c r="B68" s="2" t="str">
        <x:v>SIE</x:v>
      </x:c>
      <x:c r="C68" s="17" t="n">
        <x:v>279</x:v>
      </x:c>
      <x:c r="D68" s="17" t="n">
        <x:v>279</x:v>
      </x:c>
      <x:c r="E68" s="17" t="n">
        <x:v>0</x:v>
      </x:c>
      <x:c r="F68" s="36" t="n">
        <x:v>1</x:v>
      </x:c>
      <x:c r="G68" s="2" t="str">
        <x:v>XETR</x:v>
      </x:c>
      <x:c r="H68" s="2" t="str">
        <x:v>XETR</x:v>
      </x:c>
      <x:c r="I68" s="31" t="str">
        <x:f>IF(AND(G68=H68,C68&gt;0,ABS(C68-'Prices'!H68)&lt;=MAX(0.01,'Prices'!H68*0.000001)),"Match","Mismatch")</x:f>
        <x:v>Match</x:v>
      </x:c>
      <x:c r="J68" s="14" t="str">
        <x:v>data/bspi15/raw/marketstack/2026-10-09T11-49-33-071Z/constituents-v2.json</x:v>
      </x:c>
      <x:c r="K68" s="14" t="str"/>
      <x:c r="L68" s="38" t="n">
        <x:v>46304.492743877316</x:v>
      </x:c>
      <x:c r="M68" s="14" t="str"/>
    </x:row>
    <x:row r="69" ht="50" customHeight="1">
      <x:c r="A69" s="9" t="n">
        <x:v>46301</x:v>
      </x:c>
      <x:c r="B69" s="10" t="str">
        <x:v>NXPI</x:v>
      </x:c>
      <x:c r="C69" s="33" t="n">
        <x:v>244.38</x:v>
      </x:c>
      <x:c r="D69" s="33" t="n">
        <x:v>244.38</x:v>
      </x:c>
      <x:c r="E69" s="33" t="n">
        <x:v>0</x:v>
      </x:c>
      <x:c r="F69" s="37" t="n">
        <x:v>1</x:v>
      </x:c>
      <x:c r="G69" s="10" t="str">
        <x:v>XNAS</x:v>
      </x:c>
      <x:c r="H69" s="10" t="str">
        <x:v>XNAS</x:v>
      </x:c>
      <x:c r="I69" s="32" t="str">
        <x:f>IF(AND(G69=H69,C69&gt;0,ABS(C69-'Prices'!H69)&lt;=MAX(0.01,'Prices'!H69*0.000001)),"Match","Mismatch")</x:f>
        <x:v>Match</x:v>
      </x:c>
      <x:c r="J69" s="16" t="str">
        <x:v>data/bspi15/raw/marketstack/2026-10-09T11-49-33-071Z/constituents-v2.json</x:v>
      </x:c>
      <x:c r="K69" s="16" t="str"/>
      <x:c r="L69" s="39" t="n">
        <x:v>46304.492743877316</x:v>
      </x:c>
      <x:c r="M69" s="16" t="str"/>
    </x:row>
    <x:row r="70" ht="50" customHeight="1">
      <x:c r="A70" s="8" t="n">
        <x:v>46301</x:v>
      </x:c>
      <x:c r="B70" s="2" t="str">
        <x:v>6383</x:v>
      </x:c>
      <x:c r="C70" s="17" t="n">
        <x:v>5899</x:v>
      </x:c>
      <x:c r="D70" s="17" t="n">
        <x:v>5899</x:v>
      </x:c>
      <x:c r="E70" s="17" t="n">
        <x:v>0</x:v>
      </x:c>
      <x:c r="F70" s="36" t="n">
        <x:v>1</x:v>
      </x:c>
      <x:c r="G70" s="2" t="str">
        <x:v>XJPX</x:v>
      </x:c>
      <x:c r="H70" s="2" t="str">
        <x:v>XJPX</x:v>
      </x:c>
      <x:c r="I70" s="31" t="str">
        <x:f>IF(AND(G70=H70,C70&gt;0,ABS(C70-'Prices'!H70)&lt;=MAX(0.01,'Prices'!H70*0.000001)),"Match","Mismatch")</x:f>
        <x:v>Match</x:v>
      </x:c>
      <x:c r="J70" s="14" t="str">
        <x:v>data/bspi15/raw/marketstack/2026-10-09T11-49-33-071Z/constituents-v2.json</x:v>
      </x:c>
      <x:c r="K70" s="14" t="str"/>
      <x:c r="L70" s="38" t="n">
        <x:v>46304.492743877316</x:v>
      </x:c>
      <x:c r="M70" s="14" t="str"/>
    </x:row>
    <x:row r="71" ht="50" customHeight="1">
      <x:c r="A71" s="9" t="n">
        <x:v>46301</x:v>
      </x:c>
      <x:c r="B71" s="10" t="str">
        <x:v>HEXA B</x:v>
      </x:c>
      <x:c r="C71" s="33" t="n">
        <x:v>103.45</x:v>
      </x:c>
      <x:c r="D71" s="33" t="n">
        <x:v>103.45</x:v>
      </x:c>
      <x:c r="E71" s="33" t="n">
        <x:v>0</x:v>
      </x:c>
      <x:c r="F71" s="37" t="n">
        <x:v>1</x:v>
      </x:c>
      <x:c r="G71" s="10" t="str">
        <x:v>XSTO</x:v>
      </x:c>
      <x:c r="H71" s="10" t="str">
        <x:v>XSTO</x:v>
      </x:c>
      <x:c r="I71" s="32" t="str">
        <x:f>IF(AND(G71=H71,C71&gt;0,ABS(C71-'Prices'!H71)&lt;=MAX(0.01,'Prices'!H71*0.000001)),"Match","Mismatch")</x:f>
        <x:v>Match</x:v>
      </x:c>
      <x:c r="J71" s="16" t="str">
        <x:v>data/bspi15/raw/marketstack/2026-10-09T11-49-33-071Z/constituents-v2.json</x:v>
      </x:c>
      <x:c r="K71" s="16" t="str"/>
      <x:c r="L71" s="39" t="n">
        <x:v>46304.492743877316</x:v>
      </x:c>
      <x:c r="M71" s="16" t="str"/>
    </x:row>
    <x:row r="72" ht="50" customHeight="1">
      <x:c r="A72" s="8" t="n">
        <x:v>46301</x:v>
      </x:c>
      <x:c r="B72" s="2" t="str">
        <x:v>S&amp;P 500</x:v>
      </x:c>
      <x:c r="C72" s="17" t="n">
        <x:v>7818.93</x:v>
      </x:c>
      <x:c r="D72" s="17" t="n">
        <x:v>7818.93</x:v>
      </x:c>
      <x:c r="E72" s="17" t="n">
        <x:v>0</x:v>
      </x:c>
      <x:c r="F72" s="36" t="n">
        <x:v>1</x:v>
      </x:c>
      <x:c r="G72" s="2" t="str">
        <x:v>INDX</x:v>
      </x:c>
      <x:c r="H72" s="2" t="str">
        <x:v>INDX</x:v>
      </x:c>
      <x:c r="I72" s="31" t="str">
        <x:f>IF(AND(G72=H72,C72&gt;0,ABS(C72-'Prices'!H72)&lt;=MAX(0.01,'Prices'!H72*0.000001)),"Match","Mismatch")</x:f>
        <x:v>Match</x:v>
      </x:c>
      <x:c r="J72" s="14" t="str">
        <x:v>data/bspi15/raw/marketstack/2026-10-09T11-49-33-071Z/benchmarks-v1.json</x:v>
      </x:c>
      <x:c r="K72" s="14" t="str"/>
      <x:c r="L72" s="38" t="n">
        <x:v>46304.492743877316</x:v>
      </x:c>
      <x:c r="M72" s="14" t="str"/>
    </x:row>
    <x:row r="73" ht="50" customHeight="1">
      <x:c r="A73" s="9" t="n">
        <x:v>46301</x:v>
      </x:c>
      <x:c r="B73" s="10" t="str">
        <x:v>Nasdaq Composite</x:v>
      </x:c>
      <x:c r="C73" s="33" t="n">
        <x:v>27599.791</x:v>
      </x:c>
      <x:c r="D73" s="33" t="n">
        <x:v>27599.791</x:v>
      </x:c>
      <x:c r="E73" s="33" t="n">
        <x:v>0</x:v>
      </x:c>
      <x:c r="F73" s="37" t="n">
        <x:v>1</x:v>
      </x:c>
      <x:c r="G73" s="10" t="str">
        <x:v>INDX</x:v>
      </x:c>
      <x:c r="H73" s="10" t="str">
        <x:v>INDX</x:v>
      </x:c>
      <x:c r="I73" s="32" t="str">
        <x:f>IF(AND(G73=H73,C73&gt;0,ABS(C73-'Prices'!H73)&lt;=MAX(0.01,'Prices'!H73*0.000001)),"Match","Mismatch")</x:f>
        <x:v>Match</x:v>
      </x:c>
      <x:c r="J73" s="16" t="str">
        <x:v>data/bspi15/raw/marketstack/2026-10-09T11-49-33-071Z/benchmarks-v1.json</x:v>
      </x:c>
      <x:c r="K73" s="16" t="str"/>
      <x:c r="L73" s="39" t="n">
        <x:v>46304.492743877316</x:v>
      </x:c>
      <x:c r="M73" s="16" t="str"/>
    </x:row>
    <x:row r="74" ht="50" customHeight="1">
      <x:c r="A74" s="8" t="n">
        <x:v>46302</x:v>
      </x:c>
      <x:c r="B74" s="2" t="str">
        <x:v>6954</x:v>
      </x:c>
      <x:c r="C74" s="17" t="n">
        <x:v>6164</x:v>
      </x:c>
      <x:c r="D74" s="17" t="n">
        <x:v>6164</x:v>
      </x:c>
      <x:c r="E74" s="17" t="n">
        <x:v>0</x:v>
      </x:c>
      <x:c r="F74" s="36" t="n">
        <x:v>1</x:v>
      </x:c>
      <x:c r="G74" s="2" t="str">
        <x:v>XJPX</x:v>
      </x:c>
      <x:c r="H74" s="2" t="str">
        <x:v>XJPX</x:v>
      </x:c>
      <x:c r="I74" s="31" t="str">
        <x:f>IF(AND(G74=H74,C74&gt;0,ABS(C74-'Prices'!H74)&lt;=MAX(0.01,'Prices'!H74*0.000001)),"Match","Mismatch")</x:f>
        <x:v>Match</x:v>
      </x:c>
      <x:c r="J74" s="14" t="str">
        <x:v>data/bspi15/raw/marketstack/2026-10-09T11-49-33-071Z/constituents-v2.json</x:v>
      </x:c>
      <x:c r="K74" s="14" t="str"/>
      <x:c r="L74" s="38" t="n">
        <x:v>46304.492743877316</x:v>
      </x:c>
      <x:c r="M74" s="14" t="str"/>
    </x:row>
    <x:row r="75" ht="50" customHeight="1">
      <x:c r="A75" s="9" t="n">
        <x:v>46302</x:v>
      </x:c>
      <x:c r="B75" s="10" t="str">
        <x:v>6506</x:v>
      </x:c>
      <x:c r="C75" s="33" t="n">
        <x:v>4946</x:v>
      </x:c>
      <x:c r="D75" s="33" t="n">
        <x:v>4946</x:v>
      </x:c>
      <x:c r="E75" s="33" t="n">
        <x:v>0</x:v>
      </x:c>
      <x:c r="F75" s="37" t="n">
        <x:v>1</x:v>
      </x:c>
      <x:c r="G75" s="10" t="str">
        <x:v>XJPX</x:v>
      </x:c>
      <x:c r="H75" s="10" t="str">
        <x:v>XJPX</x:v>
      </x:c>
      <x:c r="I75" s="32" t="str">
        <x:f>IF(AND(G75=H75,C75&gt;0,ABS(C75-'Prices'!H75)&lt;=MAX(0.01,'Prices'!H75*0.000001)),"Match","Mismatch")</x:f>
        <x:v>Match</x:v>
      </x:c>
      <x:c r="J75" s="16" t="str">
        <x:v>data/bspi15/raw/marketstack/2026-10-09T11-49-33-071Z/constituents-v2.json</x:v>
      </x:c>
      <x:c r="K75" s="16" t="str"/>
      <x:c r="L75" s="39" t="n">
        <x:v>46304.492743877316</x:v>
      </x:c>
      <x:c r="M75" s="16" t="str"/>
    </x:row>
    <x:row r="76" ht="50" customHeight="1">
      <x:c r="A76" s="8" t="n">
        <x:v>46302</x:v>
      </x:c>
      <x:c r="B76" s="13" t="str">
        <x:v>002747</x:v>
      </x:c>
      <x:c r="C76" s="17" t="n">
        <x:v>28.22</x:v>
      </x:c>
      <x:c r="D76" s="17" t="n">
        <x:v>28.22</x:v>
      </x:c>
      <x:c r="E76" s="17" t="n">
        <x:v>0</x:v>
      </x:c>
      <x:c r="F76" s="36" t="n">
        <x:v>1</x:v>
      </x:c>
      <x:c r="G76" s="2" t="str">
        <x:v>XSHE</x:v>
      </x:c>
      <x:c r="H76" s="2" t="str">
        <x:v>XSHE</x:v>
      </x:c>
      <x:c r="I76" s="31" t="str">
        <x:f>IF(AND(G76=H76,C76&gt;0,ABS(C76-'Prices'!H76)&lt;=MAX(0.01,'Prices'!H76*0.000001)),"Verified closure","Mismatch")</x:f>
        <x:v>Verified closure</x:v>
      </x:c>
      <x:c r="J76" s="14" t="str">
        <x:v>data/bspi15/raw/marketstack/2026-10-09T11-49-33-071Z/constituents-v2.json</x:v>
      </x:c>
      <x:c r="K76" s="14" t="str">
        <x:v>https://www.szse.cn/disclosure/notice/t20251222_618087.html</x:v>
      </x:c>
      <x:c r="L76" s="38" t="n">
        <x:v>46304.492743877316</x:v>
      </x:c>
      <x:c r="M76" s="14" t="str"/>
    </x:row>
    <x:row r="77" ht="50" customHeight="1">
      <x:c r="A77" s="9" t="n">
        <x:v>46302</x:v>
      </x:c>
      <x:c r="B77" s="10" t="str">
        <x:v>TER</x:v>
      </x:c>
      <x:c r="C77" s="33" t="n">
        <x:v>411.78</x:v>
      </x:c>
      <x:c r="D77" s="33" t="n">
        <x:v>411.78</x:v>
      </x:c>
      <x:c r="E77" s="33" t="n">
        <x:v>0</x:v>
      </x:c>
      <x:c r="F77" s="37" t="n">
        <x:v>1</x:v>
      </x:c>
      <x:c r="G77" s="10" t="str">
        <x:v>XNAS</x:v>
      </x:c>
      <x:c r="H77" s="10" t="str">
        <x:v>XNAS</x:v>
      </x:c>
      <x:c r="I77" s="32" t="str">
        <x:f>IF(AND(G77=H77,C77&gt;0,ABS(C77-'Prices'!H77)&lt;=MAX(0.01,'Prices'!H77*0.000001)),"Match","Mismatch")</x:f>
        <x:v>Match</x:v>
      </x:c>
      <x:c r="J77" s="16" t="str">
        <x:v>data/bspi15/raw/marketstack/2026-10-09T11-49-33-071Z/constituents-v2.json</x:v>
      </x:c>
      <x:c r="K77" s="16" t="str"/>
      <x:c r="L77" s="39" t="n">
        <x:v>46304.492743877316</x:v>
      </x:c>
      <x:c r="M77" s="16" t="str"/>
    </x:row>
    <x:row r="78" ht="50" customHeight="1">
      <x:c r="A78" s="8" t="n">
        <x:v>46302</x:v>
      </x:c>
      <x:c r="B78" s="2" t="str">
        <x:v>6268</x:v>
      </x:c>
      <x:c r="C78" s="17" t="n">
        <x:v>5010</x:v>
      </x:c>
      <x:c r="D78" s="17" t="n">
        <x:v>5010</x:v>
      </x:c>
      <x:c r="E78" s="17" t="n">
        <x:v>0</x:v>
      </x:c>
      <x:c r="F78" s="36" t="n">
        <x:v>1</x:v>
      </x:c>
      <x:c r="G78" s="2" t="str">
        <x:v>XJPX</x:v>
      </x:c>
      <x:c r="H78" s="2" t="str">
        <x:v>XJPX</x:v>
      </x:c>
      <x:c r="I78" s="31" t="str">
        <x:f>IF(AND(G78=H78,C78&gt;0,ABS(C78-'Prices'!H78)&lt;=MAX(0.01,'Prices'!H78*0.000001)),"Match","Mismatch")</x:f>
        <x:v>Match</x:v>
      </x:c>
      <x:c r="J78" s="14" t="str">
        <x:v>data/bspi15/raw/marketstack/2026-10-09T11-49-33-071Z/constituents-v2.json</x:v>
      </x:c>
      <x:c r="K78" s="14" t="str"/>
      <x:c r="L78" s="38" t="n">
        <x:v>46304.492743877316</x:v>
      </x:c>
      <x:c r="M78" s="14" t="str"/>
    </x:row>
    <x:row r="79" ht="50" customHeight="1">
      <x:c r="A79" s="9" t="n">
        <x:v>46302</x:v>
      </x:c>
      <x:c r="B79" s="10" t="str">
        <x:v>300124</x:v>
      </x:c>
      <x:c r="C79" s="33" t="n">
        <x:v>51.9</x:v>
      </x:c>
      <x:c r="D79" s="33" t="n">
        <x:v>51.9</x:v>
      </x:c>
      <x:c r="E79" s="33" t="n">
        <x:v>0</x:v>
      </x:c>
      <x:c r="F79" s="37" t="n">
        <x:v>1</x:v>
      </x:c>
      <x:c r="G79" s="10" t="str">
        <x:v>XSHE</x:v>
      </x:c>
      <x:c r="H79" s="10" t="str">
        <x:v>XSHE</x:v>
      </x:c>
      <x:c r="I79" s="32" t="str">
        <x:f>IF(AND(G79=H79,C79&gt;0,ABS(C79-'Prices'!H79)&lt;=MAX(0.01,'Prices'!H79*0.000001)),"Verified closure","Mismatch")</x:f>
        <x:v>Verified closure</x:v>
      </x:c>
      <x:c r="J79" s="16" t="str">
        <x:v>data/bspi15/raw/marketstack/2026-10-09T11-49-33-071Z/constituents-v2.json</x:v>
      </x:c>
      <x:c r="K79" s="16" t="str">
        <x:v>https://www.szse.cn/disclosure/notice/t20251222_618087.html</x:v>
      </x:c>
      <x:c r="L79" s="39" t="n">
        <x:v>46304.492743877316</x:v>
      </x:c>
      <x:c r="M79" s="16" t="str"/>
    </x:row>
    <x:row r="80" ht="50" customHeight="1">
      <x:c r="A80" s="8" t="n">
        <x:v>46302</x:v>
      </x:c>
      <x:c r="B80" s="2" t="str">
        <x:v>6861</x:v>
      </x:c>
      <x:c r="C80" s="17" t="n">
        <x:v>81560</x:v>
      </x:c>
      <x:c r="D80" s="17" t="n">
        <x:v>81560</x:v>
      </x:c>
      <x:c r="E80" s="17" t="n">
        <x:v>0</x:v>
      </x:c>
      <x:c r="F80" s="36" t="n">
        <x:v>1</x:v>
      </x:c>
      <x:c r="G80" s="2" t="str">
        <x:v>XJPX</x:v>
      </x:c>
      <x:c r="H80" s="2" t="str">
        <x:v>XJPX</x:v>
      </x:c>
      <x:c r="I80" s="31" t="str">
        <x:f>IF(AND(G80=H80,C80&gt;0,ABS(C80-'Prices'!H80)&lt;=MAX(0.01,'Prices'!H80*0.000001)),"Match","Mismatch")</x:f>
        <x:v>Match</x:v>
      </x:c>
      <x:c r="J80" s="14" t="str">
        <x:v>data/bspi15/raw/marketstack/2026-10-09T11-49-33-071Z/constituents-v2.json</x:v>
      </x:c>
      <x:c r="K80" s="14" t="str"/>
      <x:c r="L80" s="38" t="n">
        <x:v>46304.492743877316</x:v>
      </x:c>
      <x:c r="M80" s="14" t="str"/>
    </x:row>
    <x:row r="81" ht="50" customHeight="1">
      <x:c r="A81" s="9" t="n">
        <x:v>46302</x:v>
      </x:c>
      <x:c r="B81" s="10" t="str">
        <x:v>CGNX</x:v>
      </x:c>
      <x:c r="C81" s="33" t="n">
        <x:v>61.21</x:v>
      </x:c>
      <x:c r="D81" s="33" t="n">
        <x:v>61.21</x:v>
      </x:c>
      <x:c r="E81" s="33" t="n">
        <x:v>0</x:v>
      </x:c>
      <x:c r="F81" s="37" t="n">
        <x:v>1</x:v>
      </x:c>
      <x:c r="G81" s="10" t="str">
        <x:v>XNAS</x:v>
      </x:c>
      <x:c r="H81" s="10" t="str">
        <x:v>XNAS</x:v>
      </x:c>
      <x:c r="I81" s="32" t="str">
        <x:f>IF(AND(G81=H81,C81&gt;0,ABS(C81-'Prices'!H81)&lt;=MAX(0.01,'Prices'!H81*0.000001)),"Match","Mismatch")</x:f>
        <x:v>Match</x:v>
      </x:c>
      <x:c r="J81" s="16" t="str">
        <x:v>data/bspi15/raw/marketstack/2026-10-09T11-49-33-071Z/constituents-v2.json</x:v>
      </x:c>
      <x:c r="K81" s="16" t="str"/>
      <x:c r="L81" s="39" t="n">
        <x:v>46304.492743877316</x:v>
      </x:c>
      <x:c r="M81" s="16" t="str"/>
    </x:row>
    <x:row r="82" ht="50" customHeight="1">
      <x:c r="A82" s="8" t="n">
        <x:v>46302</x:v>
      </x:c>
      <x:c r="B82" s="2" t="str">
        <x:v>OUST</x:v>
      </x:c>
      <x:c r="C82" s="17" t="n">
        <x:v>41.67</x:v>
      </x:c>
      <x:c r="D82" s="17" t="n">
        <x:v>41.67</x:v>
      </x:c>
      <x:c r="E82" s="17" t="n">
        <x:v>0</x:v>
      </x:c>
      <x:c r="F82" s="36" t="n">
        <x:v>1</x:v>
      </x:c>
      <x:c r="G82" s="2" t="str">
        <x:v>XNAS</x:v>
      </x:c>
      <x:c r="H82" s="2" t="str">
        <x:v>XNYS</x:v>
      </x:c>
      <x:c r="I82" s="31" t="str">
        <x:f>IF(AND(OR(G82=H82,AND(B82="OUST",G82="XNAS",H82="XNYS",LEFT(M82,34)="ouster-marketstack-legacy-nyse-tag")),C82&gt;0,ABS(C82-'Prices'!H82)&lt;=MAX(0.01,'Prices'!H82*0.000001)),"Approved MIC exception","Mismatch")</x:f>
        <x:v>Approved MIC exception</x:v>
      </x:c>
      <x:c r="J82" s="14" t="str">
        <x:v>data/bspi15/raw/marketstack/2026-10-09T11-49-33-071Z/constituents-v2.json</x:v>
      </x:c>
      <x:c r="K82" s="14" t="str"/>
      <x:c r="L82" s="38" t="n">
        <x:v>46304.492743877316</x:v>
      </x:c>
      <x:c r="M82" s="14" t="str">
        <x:v>ouster-marketstack-legacy-nyse-tag; approved 2026-10-14; data/bspi15/provider-mic-exceptions.json</x:v>
      </x:c>
    </x:row>
    <x:row r="83" ht="50" customHeight="1">
      <x:c r="A83" s="9" t="n">
        <x:v>46302</x:v>
      </x:c>
      <x:c r="B83" s="10" t="str">
        <x:v>HSAI</x:v>
      </x:c>
      <x:c r="C83" s="33" t="n">
        <x:v>16</x:v>
      </x:c>
      <x:c r="D83" s="33" t="n">
        <x:v>16</x:v>
      </x:c>
      <x:c r="E83" s="33" t="n">
        <x:v>0</x:v>
      </x:c>
      <x:c r="F83" s="37" t="n">
        <x:v>1</x:v>
      </x:c>
      <x:c r="G83" s="10" t="str">
        <x:v>XNAS</x:v>
      </x:c>
      <x:c r="H83" s="10" t="str">
        <x:v>XNAS</x:v>
      </x:c>
      <x:c r="I83" s="32" t="str">
        <x:f>IF(AND(G83=H83,C83&gt;0,ABS(C83-'Prices'!H83)&lt;=MAX(0.01,'Prices'!H83*0.000001)),"Match","Mismatch")</x:f>
        <x:v>Match</x:v>
      </x:c>
      <x:c r="J83" s="16" t="str">
        <x:v>data/bspi15/raw/marketstack/2026-10-09T11-49-33-071Z/constituents-v2.json</x:v>
      </x:c>
      <x:c r="K83" s="16" t="str"/>
      <x:c r="L83" s="39" t="n">
        <x:v>46304.492743877316</x:v>
      </x:c>
      <x:c r="M83" s="16" t="str"/>
    </x:row>
    <x:row r="84" ht="50" customHeight="1">
      <x:c r="A84" s="8" t="n">
        <x:v>46302</x:v>
      </x:c>
      <x:c r="B84" s="2" t="str">
        <x:v>ROK</x:v>
      </x:c>
      <x:c r="C84" s="17" t="n">
        <x:v>441.9</x:v>
      </x:c>
      <x:c r="D84" s="17" t="n">
        <x:v>441.9</x:v>
      </x:c>
      <x:c r="E84" s="17" t="n">
        <x:v>0</x:v>
      </x:c>
      <x:c r="F84" s="36" t="n">
        <x:v>1</x:v>
      </x:c>
      <x:c r="G84" s="2" t="str">
        <x:v>XNYS</x:v>
      </x:c>
      <x:c r="H84" s="2" t="str">
        <x:v>XNYS</x:v>
      </x:c>
      <x:c r="I84" s="31" t="str">
        <x:f>IF(AND(G84=H84,C84&gt;0,ABS(C84-'Prices'!H84)&lt;=MAX(0.01,'Prices'!H84*0.000001)),"Match","Mismatch")</x:f>
        <x:v>Match</x:v>
      </x:c>
      <x:c r="J84" s="14" t="str">
        <x:v>data/bspi15/raw/marketstack/2026-10-09T11-49-33-071Z/constituents-v2.json</x:v>
      </x:c>
      <x:c r="K84" s="14" t="str"/>
      <x:c r="L84" s="38" t="n">
        <x:v>46304.492743877316</x:v>
      </x:c>
      <x:c r="M84" s="14" t="str"/>
    </x:row>
    <x:row r="85" ht="50" customHeight="1">
      <x:c r="A85" s="9" t="n">
        <x:v>46302</x:v>
      </x:c>
      <x:c r="B85" s="10" t="str">
        <x:v>SIE</x:v>
      </x:c>
      <x:c r="C85" s="33" t="n">
        <x:v>271.2</x:v>
      </x:c>
      <x:c r="D85" s="33" t="n">
        <x:v>271.2</x:v>
      </x:c>
      <x:c r="E85" s="33" t="n">
        <x:v>0</x:v>
      </x:c>
      <x:c r="F85" s="37" t="n">
        <x:v>1</x:v>
      </x:c>
      <x:c r="G85" s="10" t="str">
        <x:v>XETR</x:v>
      </x:c>
      <x:c r="H85" s="10" t="str">
        <x:v>XETR</x:v>
      </x:c>
      <x:c r="I85" s="32" t="str">
        <x:f>IF(AND(G85=H85,C85&gt;0,ABS(C85-'Prices'!H85)&lt;=MAX(0.01,'Prices'!H85*0.000001)),"Match","Mismatch")</x:f>
        <x:v>Match</x:v>
      </x:c>
      <x:c r="J85" s="16" t="str">
        <x:v>data/bspi15/raw/marketstack/2026-10-09T11-49-33-071Z/constituents-v2.json</x:v>
      </x:c>
      <x:c r="K85" s="16" t="str"/>
      <x:c r="L85" s="39" t="n">
        <x:v>46304.492743877316</x:v>
      </x:c>
      <x:c r="M85" s="16" t="str"/>
    </x:row>
    <x:row r="86" ht="50" customHeight="1">
      <x:c r="A86" s="8" t="n">
        <x:v>46302</x:v>
      </x:c>
      <x:c r="B86" s="2" t="str">
        <x:v>NXPI</x:v>
      </x:c>
      <x:c r="C86" s="17" t="n">
        <x:v>235.22</x:v>
      </x:c>
      <x:c r="D86" s="17" t="n">
        <x:v>235.22</x:v>
      </x:c>
      <x:c r="E86" s="17" t="n">
        <x:v>0</x:v>
      </x:c>
      <x:c r="F86" s="36" t="n">
        <x:v>1</x:v>
      </x:c>
      <x:c r="G86" s="2" t="str">
        <x:v>XNAS</x:v>
      </x:c>
      <x:c r="H86" s="2" t="str">
        <x:v>XNAS</x:v>
      </x:c>
      <x:c r="I86" s="31" t="str">
        <x:f>IF(AND(G86=H86,C86&gt;0,ABS(C86-'Prices'!H86)&lt;=MAX(0.01,'Prices'!H86*0.000001)),"Match","Mismatch")</x:f>
        <x:v>Match</x:v>
      </x:c>
      <x:c r="J86" s="14" t="str">
        <x:v>data/bspi15/raw/marketstack/2026-10-09T11-49-33-071Z/constituents-v2.json</x:v>
      </x:c>
      <x:c r="K86" s="14" t="str"/>
      <x:c r="L86" s="38" t="n">
        <x:v>46304.492743877316</x:v>
      </x:c>
      <x:c r="M86" s="14" t="str"/>
    </x:row>
    <x:row r="87" ht="50" customHeight="1">
      <x:c r="A87" s="9" t="n">
        <x:v>46302</x:v>
      </x:c>
      <x:c r="B87" s="10" t="str">
        <x:v>6383</x:v>
      </x:c>
      <x:c r="C87" s="33" t="n">
        <x:v>5875</x:v>
      </x:c>
      <x:c r="D87" s="33" t="n">
        <x:v>5875</x:v>
      </x:c>
      <x:c r="E87" s="33" t="n">
        <x:v>0</x:v>
      </x:c>
      <x:c r="F87" s="37" t="n">
        <x:v>1</x:v>
      </x:c>
      <x:c r="G87" s="10" t="str">
        <x:v>XJPX</x:v>
      </x:c>
      <x:c r="H87" s="10" t="str">
        <x:v>XJPX</x:v>
      </x:c>
      <x:c r="I87" s="32" t="str">
        <x:f>IF(AND(G87=H87,C87&gt;0,ABS(C87-'Prices'!H87)&lt;=MAX(0.01,'Prices'!H87*0.000001)),"Match","Mismatch")</x:f>
        <x:v>Match</x:v>
      </x:c>
      <x:c r="J87" s="16" t="str">
        <x:v>data/bspi15/raw/marketstack/2026-10-09T11-49-33-071Z/constituents-v2.json</x:v>
      </x:c>
      <x:c r="K87" s="16" t="str"/>
      <x:c r="L87" s="39" t="n">
        <x:v>46304.492743877316</x:v>
      </x:c>
      <x:c r="M87" s="16" t="str"/>
    </x:row>
    <x:row r="88" ht="50" customHeight="1">
      <x:c r="A88" s="8" t="n">
        <x:v>46302</x:v>
      </x:c>
      <x:c r="B88" s="2" t="str">
        <x:v>HEXA B</x:v>
      </x:c>
      <x:c r="C88" s="17" t="n">
        <x:v>101.05</x:v>
      </x:c>
      <x:c r="D88" s="17" t="n">
        <x:v>101.05</x:v>
      </x:c>
      <x:c r="E88" s="17" t="n">
        <x:v>0</x:v>
      </x:c>
      <x:c r="F88" s="36" t="n">
        <x:v>1</x:v>
      </x:c>
      <x:c r="G88" s="2" t="str">
        <x:v>XSTO</x:v>
      </x:c>
      <x:c r="H88" s="2" t="str">
        <x:v>XSTO</x:v>
      </x:c>
      <x:c r="I88" s="31" t="str">
        <x:f>IF(AND(G88=H88,C88&gt;0,ABS(C88-'Prices'!H88)&lt;=MAX(0.01,'Prices'!H88*0.000001)),"Match","Mismatch")</x:f>
        <x:v>Match</x:v>
      </x:c>
      <x:c r="J88" s="14" t="str">
        <x:v>data/bspi15/raw/marketstack/2026-10-09T11-49-33-071Z/constituents-v2.json</x:v>
      </x:c>
      <x:c r="K88" s="14" t="str"/>
      <x:c r="L88" s="38" t="n">
        <x:v>46304.492743877316</x:v>
      </x:c>
      <x:c r="M88" s="14" t="str"/>
    </x:row>
    <x:row r="89" ht="50" customHeight="1">
      <x:c r="A89" s="9" t="n">
        <x:v>46302</x:v>
      </x:c>
      <x:c r="B89" s="10" t="str">
        <x:v>S&amp;P 500</x:v>
      </x:c>
      <x:c r="C89" s="33" t="n">
        <x:v>7801.77</x:v>
      </x:c>
      <x:c r="D89" s="33" t="n">
        <x:v>7801.77</x:v>
      </x:c>
      <x:c r="E89" s="33" t="n">
        <x:v>0</x:v>
      </x:c>
      <x:c r="F89" s="37" t="n">
        <x:v>1</x:v>
      </x:c>
      <x:c r="G89" s="10" t="str">
        <x:v>INDX</x:v>
      </x:c>
      <x:c r="H89" s="10" t="str">
        <x:v>INDX</x:v>
      </x:c>
      <x:c r="I89" s="32" t="str">
        <x:f>IF(AND(G89=H89,C89&gt;0,ABS(C89-'Prices'!H89)&lt;=MAX(0.01,'Prices'!H89*0.000001)),"Match","Mismatch")</x:f>
        <x:v>Match</x:v>
      </x:c>
      <x:c r="J89" s="16" t="str">
        <x:v>data/bspi15/raw/marketstack/2026-10-09T11-49-33-071Z/benchmarks-v1.json</x:v>
      </x:c>
      <x:c r="K89" s="16" t="str"/>
      <x:c r="L89" s="39" t="n">
        <x:v>46304.492743877316</x:v>
      </x:c>
      <x:c r="M89" s="16" t="str"/>
    </x:row>
    <x:row r="90" ht="50" customHeight="1">
      <x:c r="A90" s="8" t="n">
        <x:v>46302</x:v>
      </x:c>
      <x:c r="B90" s="2" t="str">
        <x:v>Nasdaq Composite</x:v>
      </x:c>
      <x:c r="C90" s="17" t="n">
        <x:v>27538.6914</x:v>
      </x:c>
      <x:c r="D90" s="17" t="n">
        <x:v>27538.6914</x:v>
      </x:c>
      <x:c r="E90" s="17" t="n">
        <x:v>0</x:v>
      </x:c>
      <x:c r="F90" s="36" t="n">
        <x:v>1</x:v>
      </x:c>
      <x:c r="G90" s="2" t="str">
        <x:v>INDX</x:v>
      </x:c>
      <x:c r="H90" s="2" t="str">
        <x:v>INDX</x:v>
      </x:c>
      <x:c r="I90" s="31" t="str">
        <x:f>IF(AND(G90=H90,C90&gt;0,ABS(C90-'Prices'!H90)&lt;=MAX(0.01,'Prices'!H90*0.000001)),"Match","Mismatch")</x:f>
        <x:v>Match</x:v>
      </x:c>
      <x:c r="J90" s="14" t="str">
        <x:v>data/bspi15/raw/marketstack/2026-10-09T11-49-33-071Z/benchmarks-v1.json</x:v>
      </x:c>
      <x:c r="K90" s="14" t="str"/>
      <x:c r="L90" s="38" t="n">
        <x:v>46304.492743877316</x:v>
      </x:c>
      <x:c r="M90" s="14" t="str"/>
    </x:row>
    <x:row r="91" ht="50" customHeight="1">
      <x:c r="A91" s="9" t="n">
        <x:v>46303</x:v>
      </x:c>
      <x:c r="B91" s="10" t="str">
        <x:v>6954</x:v>
      </x:c>
      <x:c r="C91" s="33" t="n">
        <x:v>6019</x:v>
      </x:c>
      <x:c r="D91" s="33" t="n">
        <x:v>6019</x:v>
      </x:c>
      <x:c r="E91" s="33" t="n">
        <x:v>0</x:v>
      </x:c>
      <x:c r="F91" s="37" t="n">
        <x:v>1</x:v>
      </x:c>
      <x:c r="G91" s="10" t="str">
        <x:v>XJPX</x:v>
      </x:c>
      <x:c r="H91" s="10" t="str">
        <x:v>XJPX</x:v>
      </x:c>
      <x:c r="I91" s="32" t="str">
        <x:f>IF(AND(G91=H91,C91&gt;0,ABS(C91-'Prices'!H91)&lt;=MAX(0.01,'Prices'!H91*0.000001)),"Match","Mismatch")</x:f>
        <x:v>Match</x:v>
      </x:c>
      <x:c r="J91" s="16" t="str">
        <x:v>data/bspi15/raw/marketstack/2026-10-09T11-49-33-071Z/constituents-v2.json</x:v>
      </x:c>
      <x:c r="K91" s="16" t="str"/>
      <x:c r="L91" s="39" t="n">
        <x:v>46304.492743877316</x:v>
      </x:c>
      <x:c r="M91" s="16" t="str"/>
    </x:row>
    <x:row r="92" ht="50" customHeight="1">
      <x:c r="A92" s="8" t="n">
        <x:v>46303</x:v>
      </x:c>
      <x:c r="B92" s="2" t="str">
        <x:v>6506</x:v>
      </x:c>
      <x:c r="C92" s="17" t="n">
        <x:v>4789</x:v>
      </x:c>
      <x:c r="D92" s="17" t="n">
        <x:v>4789</x:v>
      </x:c>
      <x:c r="E92" s="17" t="n">
        <x:v>0</x:v>
      </x:c>
      <x:c r="F92" s="36" t="n">
        <x:v>1</x:v>
      </x:c>
      <x:c r="G92" s="2" t="str">
        <x:v>XJPX</x:v>
      </x:c>
      <x:c r="H92" s="2" t="str">
        <x:v>XJPX</x:v>
      </x:c>
      <x:c r="I92" s="31" t="str">
        <x:f>IF(AND(G92=H92,C92&gt;0,ABS(C92-'Prices'!H92)&lt;=MAX(0.01,'Prices'!H92*0.000001)),"Match","Mismatch")</x:f>
        <x:v>Match</x:v>
      </x:c>
      <x:c r="J92" s="14" t="str">
        <x:v>data/bspi15/raw/marketstack/2026-10-09T11-49-33-071Z/constituents-v2.json</x:v>
      </x:c>
      <x:c r="K92" s="14" t="str"/>
      <x:c r="L92" s="38" t="n">
        <x:v>46304.492743877316</x:v>
      </x:c>
      <x:c r="M92" s="14" t="str"/>
    </x:row>
    <x:row r="93" ht="50" customHeight="1">
      <x:c r="A93" s="9" t="n">
        <x:v>46303</x:v>
      </x:c>
      <x:c r="B93" s="15" t="str">
        <x:v>002747</x:v>
      </x:c>
      <x:c r="C93" s="33" t="n">
        <x:v>26.86</x:v>
      </x:c>
      <x:c r="D93" s="33" t="n">
        <x:v>26.86</x:v>
      </x:c>
      <x:c r="E93" s="33" t="n">
        <x:v>0</x:v>
      </x:c>
      <x:c r="F93" s="37" t="n">
        <x:v>1</x:v>
      </x:c>
      <x:c r="G93" s="10" t="str">
        <x:v>XSHE</x:v>
      </x:c>
      <x:c r="H93" s="10" t="str">
        <x:v>XSHE</x:v>
      </x:c>
      <x:c r="I93" s="32" t="str">
        <x:f>IF(AND(G93=H93,C93&gt;0,ABS(C93-'Prices'!H93)&lt;=MAX(0.01,'Prices'!H93*0.000001)),"Match","Mismatch")</x:f>
        <x:v>Match</x:v>
      </x:c>
      <x:c r="J93" s="16" t="str">
        <x:v>data/bspi15/raw/marketstack/2026-10-09T11-49-33-071Z/constituents-v2.json</x:v>
      </x:c>
      <x:c r="K93" s="16" t="str"/>
      <x:c r="L93" s="39" t="n">
        <x:v>46304.492743877316</x:v>
      </x:c>
      <x:c r="M93" s="16" t="str"/>
    </x:row>
    <x:row r="94" ht="50" customHeight="1">
      <x:c r="A94" s="8" t="n">
        <x:v>46303</x:v>
      </x:c>
      <x:c r="B94" s="2" t="str">
        <x:v>TER</x:v>
      </x:c>
      <x:c r="C94" s="17" t="n">
        <x:v>398.72</x:v>
      </x:c>
      <x:c r="D94" s="17" t="n">
        <x:v>398.72</x:v>
      </x:c>
      <x:c r="E94" s="17" t="n">
        <x:v>0</x:v>
      </x:c>
      <x:c r="F94" s="36" t="n">
        <x:v>1</x:v>
      </x:c>
      <x:c r="G94" s="2" t="str">
        <x:v>XNAS</x:v>
      </x:c>
      <x:c r="H94" s="2" t="str">
        <x:v>XNAS</x:v>
      </x:c>
      <x:c r="I94" s="31" t="str">
        <x:f>IF(AND(G94=H94,C94&gt;0,ABS(C94-'Prices'!H94)&lt;=MAX(0.01,'Prices'!H94*0.000001)),"Match","Mismatch")</x:f>
        <x:v>Match</x:v>
      </x:c>
      <x:c r="J94" s="14" t="str">
        <x:v>data/bspi15/raw/marketstack/2026-10-09T11-49-33-071Z/constituents-v2.json</x:v>
      </x:c>
      <x:c r="K94" s="14" t="str"/>
      <x:c r="L94" s="38" t="n">
        <x:v>46304.492743877316</x:v>
      </x:c>
      <x:c r="M94" s="14" t="str"/>
    </x:row>
    <x:row r="95" ht="50" customHeight="1">
      <x:c r="A95" s="9" t="n">
        <x:v>46303</x:v>
      </x:c>
      <x:c r="B95" s="10" t="str">
        <x:v>6268</x:v>
      </x:c>
      <x:c r="C95" s="33" t="n">
        <x:v>4795</x:v>
      </x:c>
      <x:c r="D95" s="33" t="n">
        <x:v>4795</x:v>
      </x:c>
      <x:c r="E95" s="33" t="n">
        <x:v>0</x:v>
      </x:c>
      <x:c r="F95" s="37" t="n">
        <x:v>1</x:v>
      </x:c>
      <x:c r="G95" s="10" t="str">
        <x:v>XJPX</x:v>
      </x:c>
      <x:c r="H95" s="10" t="str">
        <x:v>XJPX</x:v>
      </x:c>
      <x:c r="I95" s="32" t="str">
        <x:f>IF(AND(G95=H95,C95&gt;0,ABS(C95-'Prices'!H95)&lt;=MAX(0.01,'Prices'!H95*0.000001)),"Match","Mismatch")</x:f>
        <x:v>Match</x:v>
      </x:c>
      <x:c r="J95" s="16" t="str">
        <x:v>data/bspi15/raw/marketstack/2026-10-09T11-49-33-071Z/constituents-v2.json</x:v>
      </x:c>
      <x:c r="K95" s="16" t="str"/>
      <x:c r="L95" s="39" t="n">
        <x:v>46304.492743877316</x:v>
      </x:c>
      <x:c r="M95" s="16" t="str"/>
    </x:row>
    <x:row r="96" ht="50" customHeight="1">
      <x:c r="A96" s="8" t="n">
        <x:v>46303</x:v>
      </x:c>
      <x:c r="B96" s="2" t="str">
        <x:v>300124</x:v>
      </x:c>
      <x:c r="C96" s="17" t="n">
        <x:v>49.85</x:v>
      </x:c>
      <x:c r="D96" s="17" t="n">
        <x:v>49.85</x:v>
      </x:c>
      <x:c r="E96" s="17" t="n">
        <x:v>0</x:v>
      </x:c>
      <x:c r="F96" s="36" t="n">
        <x:v>1</x:v>
      </x:c>
      <x:c r="G96" s="2" t="str">
        <x:v>XSHE</x:v>
      </x:c>
      <x:c r="H96" s="2" t="str">
        <x:v>XSHE</x:v>
      </x:c>
      <x:c r="I96" s="31" t="str">
        <x:f>IF(AND(G96=H96,C96&gt;0,ABS(C96-'Prices'!H96)&lt;=MAX(0.01,'Prices'!H96*0.000001)),"Match","Mismatch")</x:f>
        <x:v>Match</x:v>
      </x:c>
      <x:c r="J96" s="14" t="str">
        <x:v>data/bspi15/raw/marketstack/2026-10-09T11-49-33-071Z/constituents-v2.json</x:v>
      </x:c>
      <x:c r="K96" s="14" t="str"/>
      <x:c r="L96" s="38" t="n">
        <x:v>46304.492743877316</x:v>
      </x:c>
      <x:c r="M96" s="14" t="str"/>
    </x:row>
    <x:row r="97" ht="50" customHeight="1">
      <x:c r="A97" s="9" t="n">
        <x:v>46303</x:v>
      </x:c>
      <x:c r="B97" s="10" t="str">
        <x:v>6861</x:v>
      </x:c>
      <x:c r="C97" s="33" t="n">
        <x:v>80000</x:v>
      </x:c>
      <x:c r="D97" s="33" t="n">
        <x:v>80000</x:v>
      </x:c>
      <x:c r="E97" s="33" t="n">
        <x:v>0</x:v>
      </x:c>
      <x:c r="F97" s="37" t="n">
        <x:v>1</x:v>
      </x:c>
      <x:c r="G97" s="10" t="str">
        <x:v>XJPX</x:v>
      </x:c>
      <x:c r="H97" s="10" t="str">
        <x:v>XJPX</x:v>
      </x:c>
      <x:c r="I97" s="32" t="str">
        <x:f>IF(AND(G97=H97,C97&gt;0,ABS(C97-'Prices'!H97)&lt;=MAX(0.01,'Prices'!H97*0.000001)),"Match","Mismatch")</x:f>
        <x:v>Match</x:v>
      </x:c>
      <x:c r="J97" s="16" t="str">
        <x:v>data/bspi15/raw/marketstack/2026-10-09T11-49-33-071Z/constituents-v2.json</x:v>
      </x:c>
      <x:c r="K97" s="16" t="str"/>
      <x:c r="L97" s="39" t="n">
        <x:v>46304.492743877316</x:v>
      </x:c>
      <x:c r="M97" s="16" t="str"/>
    </x:row>
    <x:row r="98" ht="50" customHeight="1">
      <x:c r="A98" s="8" t="n">
        <x:v>46303</x:v>
      </x:c>
      <x:c r="B98" s="2" t="str">
        <x:v>CGNX</x:v>
      </x:c>
      <x:c r="C98" s="17" t="n">
        <x:v>60.91</x:v>
      </x:c>
      <x:c r="D98" s="17" t="n">
        <x:v>60.91</x:v>
      </x:c>
      <x:c r="E98" s="17" t="n">
        <x:v>0</x:v>
      </x:c>
      <x:c r="F98" s="36" t="n">
        <x:v>1</x:v>
      </x:c>
      <x:c r="G98" s="2" t="str">
        <x:v>XNAS</x:v>
      </x:c>
      <x:c r="H98" s="2" t="str">
        <x:v>XNAS</x:v>
      </x:c>
      <x:c r="I98" s="31" t="str">
        <x:f>IF(AND(G98=H98,C98&gt;0,ABS(C98-'Prices'!H98)&lt;=MAX(0.01,'Prices'!H98*0.000001)),"Match","Mismatch")</x:f>
        <x:v>Match</x:v>
      </x:c>
      <x:c r="J98" s="14" t="str">
        <x:v>data/bspi15/raw/marketstack/2026-10-09T11-49-33-071Z/constituents-v2.json</x:v>
      </x:c>
      <x:c r="K98" s="14" t="str"/>
      <x:c r="L98" s="38" t="n">
        <x:v>46304.492743877316</x:v>
      </x:c>
      <x:c r="M98" s="14" t="str"/>
    </x:row>
    <x:row r="99" ht="50" customHeight="1">
      <x:c r="A99" s="9" t="n">
        <x:v>46303</x:v>
      </x:c>
      <x:c r="B99" s="10" t="str">
        <x:v>OUST</x:v>
      </x:c>
      <x:c r="C99" s="33" t="n">
        <x:v>39.53</x:v>
      </x:c>
      <x:c r="D99" s="33" t="n">
        <x:v>39.53</x:v>
      </x:c>
      <x:c r="E99" s="33" t="n">
        <x:v>0</x:v>
      </x:c>
      <x:c r="F99" s="37" t="n">
        <x:v>1</x:v>
      </x:c>
      <x:c r="G99" s="10" t="str">
        <x:v>XNAS</x:v>
      </x:c>
      <x:c r="H99" s="10" t="str">
        <x:v>XNYS</x:v>
      </x:c>
      <x:c r="I99" s="32" t="str">
        <x:f>IF(AND(OR(G99=H99,AND(B99="OUST",G99="XNAS",H99="XNYS",LEFT(M99,34)="ouster-marketstack-legacy-nyse-tag")),C99&gt;0,ABS(C99-'Prices'!H99)&lt;=MAX(0.01,'Prices'!H99*0.000001)),"Approved MIC exception","Mismatch")</x:f>
        <x:v>Approved MIC exception</x:v>
      </x:c>
      <x:c r="J99" s="16" t="str">
        <x:v>data/bspi15/raw/marketstack/2026-10-09T11-49-33-071Z/constituents-v2.json</x:v>
      </x:c>
      <x:c r="K99" s="16" t="str"/>
      <x:c r="L99" s="39" t="n">
        <x:v>46304.492743877316</x:v>
      </x:c>
      <x:c r="M99" s="16" t="str">
        <x:v>ouster-marketstack-legacy-nyse-tag; approved 2026-10-14; data/bspi15/provider-mic-exceptions.json</x:v>
      </x:c>
    </x:row>
    <x:row r="100" ht="50" customHeight="1">
      <x:c r="A100" s="8" t="n">
        <x:v>46303</x:v>
      </x:c>
      <x:c r="B100" s="2" t="str">
        <x:v>HSAI</x:v>
      </x:c>
      <x:c r="C100" s="17" t="n">
        <x:v>15.61</x:v>
      </x:c>
      <x:c r="D100" s="17" t="n">
        <x:v>15.61</x:v>
      </x:c>
      <x:c r="E100" s="17" t="n">
        <x:v>0</x:v>
      </x:c>
      <x:c r="F100" s="36" t="n">
        <x:v>1</x:v>
      </x:c>
      <x:c r="G100" s="2" t="str">
        <x:v>XNAS</x:v>
      </x:c>
      <x:c r="H100" s="2" t="str">
        <x:v>XNAS</x:v>
      </x:c>
      <x:c r="I100" s="31" t="str">
        <x:f>IF(AND(G100=H100,C100&gt;0,ABS(C100-'Prices'!H100)&lt;=MAX(0.01,'Prices'!H100*0.000001)),"Match","Mismatch")</x:f>
        <x:v>Match</x:v>
      </x:c>
      <x:c r="J100" s="14" t="str">
        <x:v>data/bspi15/raw/marketstack/2026-10-09T11-49-33-071Z/constituents-v2.json</x:v>
      </x:c>
      <x:c r="K100" s="14" t="str"/>
      <x:c r="L100" s="38" t="n">
        <x:v>46304.492743877316</x:v>
      </x:c>
      <x:c r="M100" s="14" t="str"/>
    </x:row>
    <x:row r="101" ht="50" customHeight="1">
      <x:c r="A101" s="9" t="n">
        <x:v>46303</x:v>
      </x:c>
      <x:c r="B101" s="10" t="str">
        <x:v>ROK</x:v>
      </x:c>
      <x:c r="C101" s="33" t="n">
        <x:v>434.14</x:v>
      </x:c>
      <x:c r="D101" s="33" t="n">
        <x:v>434.14</x:v>
      </x:c>
      <x:c r="E101" s="33" t="n">
        <x:v>0</x:v>
      </x:c>
      <x:c r="F101" s="37" t="n">
        <x:v>1</x:v>
      </x:c>
      <x:c r="G101" s="10" t="str">
        <x:v>XNYS</x:v>
      </x:c>
      <x:c r="H101" s="10" t="str">
        <x:v>XNYS</x:v>
      </x:c>
      <x:c r="I101" s="32" t="str">
        <x:f>IF(AND(G101=H101,C101&gt;0,ABS(C101-'Prices'!H101)&lt;=MAX(0.01,'Prices'!H101*0.000001)),"Match","Mismatch")</x:f>
        <x:v>Match</x:v>
      </x:c>
      <x:c r="J101" s="16" t="str">
        <x:v>data/bspi15/raw/marketstack/2026-10-09T11-49-33-071Z/constituents-v2.json</x:v>
      </x:c>
      <x:c r="K101" s="16" t="str"/>
      <x:c r="L101" s="39" t="n">
        <x:v>46304.492743877316</x:v>
      </x:c>
      <x:c r="M101" s="16" t="str"/>
    </x:row>
    <x:row r="102" ht="50" customHeight="1">
      <x:c r="A102" s="8" t="n">
        <x:v>46303</x:v>
      </x:c>
      <x:c r="B102" s="2" t="str">
        <x:v>SIE</x:v>
      </x:c>
      <x:c r="C102" s="17" t="n">
        <x:v>264.25</x:v>
      </x:c>
      <x:c r="D102" s="17" t="n">
        <x:v>264.25</x:v>
      </x:c>
      <x:c r="E102" s="17" t="n">
        <x:v>0</x:v>
      </x:c>
      <x:c r="F102" s="36" t="n">
        <x:v>1</x:v>
      </x:c>
      <x:c r="G102" s="2" t="str">
        <x:v>XETR</x:v>
      </x:c>
      <x:c r="H102" s="2" t="str">
        <x:v>XETR</x:v>
      </x:c>
      <x:c r="I102" s="31" t="str">
        <x:f>IF(AND(G102=H102,C102&gt;0,ABS(C102-'Prices'!H102)&lt;=MAX(0.01,'Prices'!H102*0.000001)),"Match","Mismatch")</x:f>
        <x:v>Match</x:v>
      </x:c>
      <x:c r="J102" s="14" t="str">
        <x:v>data/bspi15/raw/marketstack/2026-10-09T11-49-33-071Z/constituents-v2.json</x:v>
      </x:c>
      <x:c r="K102" s="14" t="str"/>
      <x:c r="L102" s="38" t="n">
        <x:v>46304.492743877316</x:v>
      </x:c>
      <x:c r="M102" s="14" t="str"/>
    </x:row>
    <x:row r="103" ht="50" customHeight="1">
      <x:c r="A103" s="9" t="n">
        <x:v>46303</x:v>
      </x:c>
      <x:c r="B103" s="10" t="str">
        <x:v>NXPI</x:v>
      </x:c>
      <x:c r="C103" s="33" t="n">
        <x:v>231.07</x:v>
      </x:c>
      <x:c r="D103" s="33" t="n">
        <x:v>231.07</x:v>
      </x:c>
      <x:c r="E103" s="33" t="n">
        <x:v>0</x:v>
      </x:c>
      <x:c r="F103" s="37" t="n">
        <x:v>1</x:v>
      </x:c>
      <x:c r="G103" s="10" t="str">
        <x:v>XNAS</x:v>
      </x:c>
      <x:c r="H103" s="10" t="str">
        <x:v>XNAS</x:v>
      </x:c>
      <x:c r="I103" s="32" t="str">
        <x:f>IF(AND(G103=H103,C103&gt;0,ABS(C103-'Prices'!H103)&lt;=MAX(0.01,'Prices'!H103*0.000001)),"Match","Mismatch")</x:f>
        <x:v>Match</x:v>
      </x:c>
      <x:c r="J103" s="16" t="str">
        <x:v>data/bspi15/raw/marketstack/2026-10-09T11-49-33-071Z/constituents-v2.json</x:v>
      </x:c>
      <x:c r="K103" s="16" t="str"/>
      <x:c r="L103" s="39" t="n">
        <x:v>46304.492743877316</x:v>
      </x:c>
      <x:c r="M103" s="16" t="str"/>
    </x:row>
    <x:row r="104" ht="50" customHeight="1">
      <x:c r="A104" s="8" t="n">
        <x:v>46303</x:v>
      </x:c>
      <x:c r="B104" s="2" t="str">
        <x:v>6383</x:v>
      </x:c>
      <x:c r="C104" s="17" t="n">
        <x:v>5716</x:v>
      </x:c>
      <x:c r="D104" s="17" t="n">
        <x:v>5716</x:v>
      </x:c>
      <x:c r="E104" s="17" t="n">
        <x:v>0</x:v>
      </x:c>
      <x:c r="F104" s="36" t="n">
        <x:v>1</x:v>
      </x:c>
      <x:c r="G104" s="2" t="str">
        <x:v>XJPX</x:v>
      </x:c>
      <x:c r="H104" s="2" t="str">
        <x:v>XJPX</x:v>
      </x:c>
      <x:c r="I104" s="31" t="str">
        <x:f>IF(AND(G104=H104,C104&gt;0,ABS(C104-'Prices'!H104)&lt;=MAX(0.01,'Prices'!H104*0.000001)),"Match","Mismatch")</x:f>
        <x:v>Match</x:v>
      </x:c>
      <x:c r="J104" s="14" t="str">
        <x:v>data/bspi15/raw/marketstack/2026-10-09T11-49-33-071Z/constituents-v2.json</x:v>
      </x:c>
      <x:c r="K104" s="14" t="str"/>
      <x:c r="L104" s="38" t="n">
        <x:v>46304.492743877316</x:v>
      </x:c>
      <x:c r="M104" s="14" t="str"/>
    </x:row>
    <x:row r="105" ht="50" customHeight="1">
      <x:c r="A105" s="9" t="n">
        <x:v>46303</x:v>
      </x:c>
      <x:c r="B105" s="10" t="str">
        <x:v>HEXA B</x:v>
      </x:c>
      <x:c r="C105" s="33" t="n">
        <x:v>101.25</x:v>
      </x:c>
      <x:c r="D105" s="33" t="n">
        <x:v>101.25</x:v>
      </x:c>
      <x:c r="E105" s="33" t="n">
        <x:v>0</x:v>
      </x:c>
      <x:c r="F105" s="37" t="n">
        <x:v>1</x:v>
      </x:c>
      <x:c r="G105" s="10" t="str">
        <x:v>XSTO</x:v>
      </x:c>
      <x:c r="H105" s="10" t="str">
        <x:v>XSTO</x:v>
      </x:c>
      <x:c r="I105" s="32" t="str">
        <x:f>IF(AND(G105=H105,C105&gt;0,ABS(C105-'Prices'!H105)&lt;=MAX(0.01,'Prices'!H105*0.000001)),"Match","Mismatch")</x:f>
        <x:v>Match</x:v>
      </x:c>
      <x:c r="J105" s="16" t="str">
        <x:v>data/bspi15/raw/marketstack/2026-10-09T11-49-33-071Z/constituents-v2.json</x:v>
      </x:c>
      <x:c r="K105" s="16" t="str"/>
      <x:c r="L105" s="39" t="n">
        <x:v>46304.492743877316</x:v>
      </x:c>
      <x:c r="M105" s="16" t="str"/>
    </x:row>
    <x:row r="106" ht="50" customHeight="1">
      <x:c r="A106" s="8" t="n">
        <x:v>46303</x:v>
      </x:c>
      <x:c r="B106" s="2" t="str">
        <x:v>S&amp;P 500</x:v>
      </x:c>
      <x:c r="C106" s="17" t="n">
        <x:v>7765.36</x:v>
      </x:c>
      <x:c r="D106" s="17" t="n">
        <x:v>7765.36</x:v>
      </x:c>
      <x:c r="E106" s="17" t="n">
        <x:v>0</x:v>
      </x:c>
      <x:c r="F106" s="36" t="n">
        <x:v>1</x:v>
      </x:c>
      <x:c r="G106" s="2" t="str">
        <x:v>INDX</x:v>
      </x:c>
      <x:c r="H106" s="2" t="str">
        <x:v>INDX</x:v>
      </x:c>
      <x:c r="I106" s="31" t="str">
        <x:f>IF(AND(G106=H106,C106&gt;0,ABS(C106-'Prices'!H106)&lt;=MAX(0.01,'Prices'!H106*0.000001)),"Match","Mismatch")</x:f>
        <x:v>Match</x:v>
      </x:c>
      <x:c r="J106" s="14" t="str">
        <x:v>data/bspi15/raw/marketstack/2026-10-09T11-49-33-071Z/benchmarks-v1.json</x:v>
      </x:c>
      <x:c r="K106" s="14" t="str"/>
      <x:c r="L106" s="38" t="n">
        <x:v>46304.492743877316</x:v>
      </x:c>
      <x:c r="M106" s="14" t="str"/>
    </x:row>
    <x:row r="107" ht="50" customHeight="1">
      <x:c r="A107" s="9" t="n">
        <x:v>46303</x:v>
      </x:c>
      <x:c r="B107" s="10" t="str">
        <x:v>Nasdaq Composite</x:v>
      </x:c>
      <x:c r="C107" s="33" t="n">
        <x:v>27193.3398</x:v>
      </x:c>
      <x:c r="D107" s="33" t="n">
        <x:v>27193.3398</x:v>
      </x:c>
      <x:c r="E107" s="33" t="n">
        <x:v>0</x:v>
      </x:c>
      <x:c r="F107" s="37" t="n">
        <x:v>1</x:v>
      </x:c>
      <x:c r="G107" s="10" t="str">
        <x:v>INDX</x:v>
      </x:c>
      <x:c r="H107" s="10" t="str">
        <x:v>INDX</x:v>
      </x:c>
      <x:c r="I107" s="32" t="str">
        <x:f>IF(AND(G107=H107,C107&gt;0,ABS(C107-'Prices'!H107)&lt;=MAX(0.01,'Prices'!H107*0.000001)),"Match","Mismatch")</x:f>
        <x:v>Match</x:v>
      </x:c>
      <x:c r="J107" s="16" t="str">
        <x:v>data/bspi15/raw/marketstack/2026-10-09T11-49-33-071Z/benchmarks-v1.json</x:v>
      </x:c>
      <x:c r="K107" s="16" t="str"/>
      <x:c r="L107" s="39" t="n">
        <x:v>46304.492743877316</x:v>
      </x:c>
      <x:c r="M107" s="16" t="str"/>
    </x:row>
    <x:row r="108" ht="50" customHeight="1">
      <x:c r="A108" s="8" t="n">
        <x:v>46304</x:v>
      </x:c>
      <x:c r="B108" s="2" t="str">
        <x:v>6954</x:v>
      </x:c>
      <x:c r="C108" s="17" t="n">
        <x:v>6103</x:v>
      </x:c>
      <x:c r="D108" s="17" t="n">
        <x:v>6103</x:v>
      </x:c>
      <x:c r="E108" s="17" t="n">
        <x:v>0</x:v>
      </x:c>
      <x:c r="F108" s="36" t="n">
        <x:v>1</x:v>
      </x:c>
      <x:c r="G108" s="2" t="str">
        <x:v>XJPX</x:v>
      </x:c>
      <x:c r="H108" s="2" t="str">
        <x:v>XJPX</x:v>
      </x:c>
      <x:c r="I108" s="31" t="str">
        <x:f>IF(AND(G108=H108,C108&gt;0,ABS(C108-'Prices'!H108)&lt;=MAX(0.01,'Prices'!H108*0.000001)),"Match","Mismatch")</x:f>
        <x:v>Match</x:v>
      </x:c>
      <x:c r="J108" s="14" t="str">
        <x:v>data/bspi15/raw/marketstack/2026-10-10T11-34-55-985Z/constituents-v2.json</x:v>
      </x:c>
      <x:c r="K108" s="14" t="str"/>
      <x:c r="L108" s="38" t="n">
        <x:v>46305.48259241898</x:v>
      </x:c>
      <x:c r="M108" s="14" t="str"/>
    </x:row>
    <x:row r="109" ht="50" customHeight="1">
      <x:c r="A109" s="9" t="n">
        <x:v>46304</x:v>
      </x:c>
      <x:c r="B109" s="10" t="str">
        <x:v>6506</x:v>
      </x:c>
      <x:c r="C109" s="33" t="n">
        <x:v>4783</x:v>
      </x:c>
      <x:c r="D109" s="33" t="n">
        <x:v>4783</x:v>
      </x:c>
      <x:c r="E109" s="33" t="n">
        <x:v>0</x:v>
      </x:c>
      <x:c r="F109" s="37" t="n">
        <x:v>1</x:v>
      </x:c>
      <x:c r="G109" s="10" t="str">
        <x:v>XJPX</x:v>
      </x:c>
      <x:c r="H109" s="10" t="str">
        <x:v>XJPX</x:v>
      </x:c>
      <x:c r="I109" s="32" t="str">
        <x:f>IF(AND(G109=H109,C109&gt;0,ABS(C109-'Prices'!H109)&lt;=MAX(0.01,'Prices'!H109*0.000001)),"Match","Mismatch")</x:f>
        <x:v>Match</x:v>
      </x:c>
      <x:c r="J109" s="16" t="str">
        <x:v>data/bspi15/raw/marketstack/2026-10-10T11-34-55-985Z/constituents-v2.json</x:v>
      </x:c>
      <x:c r="K109" s="16" t="str"/>
      <x:c r="L109" s="39" t="n">
        <x:v>46305.48259241898</x:v>
      </x:c>
      <x:c r="M109" s="16" t="str"/>
    </x:row>
    <x:row r="110" ht="50" customHeight="1">
      <x:c r="A110" s="8" t="n">
        <x:v>46304</x:v>
      </x:c>
      <x:c r="B110" s="13" t="str">
        <x:v>002747</x:v>
      </x:c>
      <x:c r="C110" s="17" t="n">
        <x:v>27.04</x:v>
      </x:c>
      <x:c r="D110" s="17" t="n">
        <x:v>27.04</x:v>
      </x:c>
      <x:c r="E110" s="17" t="n">
        <x:v>0</x:v>
      </x:c>
      <x:c r="F110" s="36" t="n">
        <x:v>1</x:v>
      </x:c>
      <x:c r="G110" s="2" t="str">
        <x:v>XSHE</x:v>
      </x:c>
      <x:c r="H110" s="2" t="str">
        <x:v>XSHE</x:v>
      </x:c>
      <x:c r="I110" s="31" t="str">
        <x:f>IF(AND(G110=H110,C110&gt;0,ABS(C110-'Prices'!H110)&lt;=MAX(0.01,'Prices'!H110*0.000001)),"Match","Mismatch")</x:f>
        <x:v>Match</x:v>
      </x:c>
      <x:c r="J110" s="14" t="str">
        <x:v>data/bspi15/raw/marketstack/2026-10-10T11-34-55-985Z/constituents-v2.json</x:v>
      </x:c>
      <x:c r="K110" s="14" t="str"/>
      <x:c r="L110" s="38" t="n">
        <x:v>46305.48259241898</x:v>
      </x:c>
      <x:c r="M110" s="14" t="str"/>
    </x:row>
    <x:row r="111" ht="50" customHeight="1">
      <x:c r="A111" s="9" t="n">
        <x:v>46304</x:v>
      </x:c>
      <x:c r="B111" s="10" t="str">
        <x:v>TER</x:v>
      </x:c>
      <x:c r="C111" s="33" t="n">
        <x:v>402.68</x:v>
      </x:c>
      <x:c r="D111" s="33" t="n">
        <x:v>402.68</x:v>
      </x:c>
      <x:c r="E111" s="33" t="n">
        <x:v>0</x:v>
      </x:c>
      <x:c r="F111" s="37" t="n">
        <x:v>1</x:v>
      </x:c>
      <x:c r="G111" s="10" t="str">
        <x:v>XNAS</x:v>
      </x:c>
      <x:c r="H111" s="10" t="str">
        <x:v>XNAS</x:v>
      </x:c>
      <x:c r="I111" s="32" t="str">
        <x:f>IF(AND(G111=H111,C111&gt;0,ABS(C111-'Prices'!H111)&lt;=MAX(0.01,'Prices'!H111*0.000001)),"Match","Mismatch")</x:f>
        <x:v>Match</x:v>
      </x:c>
      <x:c r="J111" s="16" t="str">
        <x:v>data/bspi15/raw/marketstack/2026-10-10T11-34-55-985Z/constituents-v2.json</x:v>
      </x:c>
      <x:c r="K111" s="16" t="str"/>
      <x:c r="L111" s="39" t="n">
        <x:v>46305.48259241898</x:v>
      </x:c>
      <x:c r="M111" s="16" t="str"/>
    </x:row>
    <x:row r="112" ht="50" customHeight="1">
      <x:c r="A112" s="8" t="n">
        <x:v>46304</x:v>
      </x:c>
      <x:c r="B112" s="2" t="str">
        <x:v>6268</x:v>
      </x:c>
      <x:c r="C112" s="17" t="n">
        <x:v>4859</x:v>
      </x:c>
      <x:c r="D112" s="17" t="n">
        <x:v>4859</x:v>
      </x:c>
      <x:c r="E112" s="17" t="n">
        <x:v>0</x:v>
      </x:c>
      <x:c r="F112" s="36" t="n">
        <x:v>1</x:v>
      </x:c>
      <x:c r="G112" s="2" t="str">
        <x:v>XJPX</x:v>
      </x:c>
      <x:c r="H112" s="2" t="str">
        <x:v>XJPX</x:v>
      </x:c>
      <x:c r="I112" s="31" t="str">
        <x:f>IF(AND(G112=H112,C112&gt;0,ABS(C112-'Prices'!H112)&lt;=MAX(0.01,'Prices'!H112*0.000001)),"Match","Mismatch")</x:f>
        <x:v>Match</x:v>
      </x:c>
      <x:c r="J112" s="14" t="str">
        <x:v>data/bspi15/raw/marketstack/2026-10-10T11-34-55-985Z/constituents-v2.json</x:v>
      </x:c>
      <x:c r="K112" s="14" t="str"/>
      <x:c r="L112" s="38" t="n">
        <x:v>46305.48259241898</x:v>
      </x:c>
      <x:c r="M112" s="14" t="str"/>
    </x:row>
    <x:row r="113" ht="50" customHeight="1">
      <x:c r="A113" s="9" t="n">
        <x:v>46304</x:v>
      </x:c>
      <x:c r="B113" s="10" t="str">
        <x:v>300124</x:v>
      </x:c>
      <x:c r="C113" s="33" t="n">
        <x:v>50.59</x:v>
      </x:c>
      <x:c r="D113" s="33" t="n">
        <x:v>50.59</x:v>
      </x:c>
      <x:c r="E113" s="33" t="n">
        <x:v>0</x:v>
      </x:c>
      <x:c r="F113" s="37" t="n">
        <x:v>1</x:v>
      </x:c>
      <x:c r="G113" s="10" t="str">
        <x:v>XSHE</x:v>
      </x:c>
      <x:c r="H113" s="10" t="str">
        <x:v>XSHE</x:v>
      </x:c>
      <x:c r="I113" s="32" t="str">
        <x:f>IF(AND(G113=H113,C113&gt;0,ABS(C113-'Prices'!H113)&lt;=MAX(0.01,'Prices'!H113*0.000001)),"Match","Mismatch")</x:f>
        <x:v>Match</x:v>
      </x:c>
      <x:c r="J113" s="16" t="str">
        <x:v>data/bspi15/raw/marketstack/2026-10-10T11-34-55-985Z/constituents-v2.json</x:v>
      </x:c>
      <x:c r="K113" s="16" t="str"/>
      <x:c r="L113" s="39" t="n">
        <x:v>46305.48259241898</x:v>
      </x:c>
      <x:c r="M113" s="16" t="str"/>
    </x:row>
    <x:row r="114" ht="50" customHeight="1">
      <x:c r="A114" s="8" t="n">
        <x:v>46304</x:v>
      </x:c>
      <x:c r="B114" s="2" t="str">
        <x:v>6861</x:v>
      </x:c>
      <x:c r="C114" s="17" t="n">
        <x:v>80540</x:v>
      </x:c>
      <x:c r="D114" s="17" t="n">
        <x:v>80540</x:v>
      </x:c>
      <x:c r="E114" s="17" t="n">
        <x:v>0</x:v>
      </x:c>
      <x:c r="F114" s="36" t="n">
        <x:v>1</x:v>
      </x:c>
      <x:c r="G114" s="2" t="str">
        <x:v>XJPX</x:v>
      </x:c>
      <x:c r="H114" s="2" t="str">
        <x:v>XJPX</x:v>
      </x:c>
      <x:c r="I114" s="31" t="str">
        <x:f>IF(AND(G114=H114,C114&gt;0,ABS(C114-'Prices'!H114)&lt;=MAX(0.01,'Prices'!H114*0.000001)),"Match","Mismatch")</x:f>
        <x:v>Match</x:v>
      </x:c>
      <x:c r="J114" s="14" t="str">
        <x:v>data/bspi15/raw/marketstack/2026-10-10T11-34-55-985Z/constituents-v2.json</x:v>
      </x:c>
      <x:c r="K114" s="14" t="str"/>
      <x:c r="L114" s="38" t="n">
        <x:v>46305.48259241898</x:v>
      </x:c>
      <x:c r="M114" s="14" t="str"/>
    </x:row>
    <x:row r="115" ht="50" customHeight="1">
      <x:c r="A115" s="9" t="n">
        <x:v>46304</x:v>
      </x:c>
      <x:c r="B115" s="10" t="str">
        <x:v>CGNX</x:v>
      </x:c>
      <x:c r="C115" s="33" t="n">
        <x:v>62.92</x:v>
      </x:c>
      <x:c r="D115" s="33" t="n">
        <x:v>62.92</x:v>
      </x:c>
      <x:c r="E115" s="33" t="n">
        <x:v>0</x:v>
      </x:c>
      <x:c r="F115" s="37" t="n">
        <x:v>1</x:v>
      </x:c>
      <x:c r="G115" s="10" t="str">
        <x:v>XNAS</x:v>
      </x:c>
      <x:c r="H115" s="10" t="str">
        <x:v>XNAS</x:v>
      </x:c>
      <x:c r="I115" s="32" t="str">
        <x:f>IF(AND(G115=H115,C115&gt;0,ABS(C115-'Prices'!H115)&lt;=MAX(0.01,'Prices'!H115*0.000001)),"Match","Mismatch")</x:f>
        <x:v>Match</x:v>
      </x:c>
      <x:c r="J115" s="16" t="str">
        <x:v>data/bspi15/raw/marketstack/2026-10-10T11-34-55-985Z/constituents-v2.json</x:v>
      </x:c>
      <x:c r="K115" s="16" t="str"/>
      <x:c r="L115" s="39" t="n">
        <x:v>46305.48259241898</x:v>
      </x:c>
      <x:c r="M115" s="16" t="str"/>
    </x:row>
    <x:row r="116" ht="50" customHeight="1">
      <x:c r="A116" s="8" t="n">
        <x:v>46304</x:v>
      </x:c>
      <x:c r="B116" s="2" t="str">
        <x:v>OUST</x:v>
      </x:c>
      <x:c r="C116" s="17" t="n">
        <x:v>39.9</x:v>
      </x:c>
      <x:c r="D116" s="17" t="n">
        <x:v>39.9</x:v>
      </x:c>
      <x:c r="E116" s="17" t="n">
        <x:v>0</x:v>
      </x:c>
      <x:c r="F116" s="36" t="n">
        <x:v>1</x:v>
      </x:c>
      <x:c r="G116" s="2" t="str">
        <x:v>XNAS</x:v>
      </x:c>
      <x:c r="H116" s="2" t="str">
        <x:v>XNYS</x:v>
      </x:c>
      <x:c r="I116" s="31" t="str">
        <x:f>IF(AND(OR(G116=H116,AND(B116="OUST",G116="XNAS",H116="XNYS",LEFT(M116,34)="ouster-marketstack-legacy-nyse-tag")),C116&gt;0,ABS(C116-'Prices'!H116)&lt;=MAX(0.01,'Prices'!H116*0.000001)),"Approved MIC exception","Mismatch")</x:f>
        <x:v>Approved MIC exception</x:v>
      </x:c>
      <x:c r="J116" s="14" t="str">
        <x:v>data/bspi15/raw/marketstack/2026-10-10T11-34-55-985Z/constituents-v2.json</x:v>
      </x:c>
      <x:c r="K116" s="14" t="str"/>
      <x:c r="L116" s="38" t="n">
        <x:v>46305.48259241898</x:v>
      </x:c>
      <x:c r="M116" s="14" t="str">
        <x:v>ouster-marketstack-legacy-nyse-tag; approved 2026-10-14; data/bspi15/provider-mic-exceptions.json</x:v>
      </x:c>
    </x:row>
    <x:row r="117" ht="50" customHeight="1">
      <x:c r="A117" s="9" t="n">
        <x:v>46304</x:v>
      </x:c>
      <x:c r="B117" s="10" t="str">
        <x:v>HSAI</x:v>
      </x:c>
      <x:c r="C117" s="33" t="n">
        <x:v>16.01</x:v>
      </x:c>
      <x:c r="D117" s="33" t="n">
        <x:v>16.01</x:v>
      </x:c>
      <x:c r="E117" s="33" t="n">
        <x:v>0</x:v>
      </x:c>
      <x:c r="F117" s="37" t="n">
        <x:v>1</x:v>
      </x:c>
      <x:c r="G117" s="10" t="str">
        <x:v>XNAS</x:v>
      </x:c>
      <x:c r="H117" s="10" t="str">
        <x:v>XNAS</x:v>
      </x:c>
      <x:c r="I117" s="32" t="str">
        <x:f>IF(AND(G117=H117,C117&gt;0,ABS(C117-'Prices'!H117)&lt;=MAX(0.01,'Prices'!H117*0.000001)),"Match","Mismatch")</x:f>
        <x:v>Match</x:v>
      </x:c>
      <x:c r="J117" s="16" t="str">
        <x:v>data/bspi15/raw/marketstack/2026-10-10T11-34-55-985Z/constituents-v2.json</x:v>
      </x:c>
      <x:c r="K117" s="16" t="str"/>
      <x:c r="L117" s="39" t="n">
        <x:v>46305.48259241898</x:v>
      </x:c>
      <x:c r="M117" s="16" t="str"/>
    </x:row>
    <x:row r="118" ht="50" customHeight="1">
      <x:c r="A118" s="8" t="n">
        <x:v>46304</x:v>
      </x:c>
      <x:c r="B118" s="2" t="str">
        <x:v>ROK</x:v>
      </x:c>
      <x:c r="C118" s="17" t="n">
        <x:v>432.59</x:v>
      </x:c>
      <x:c r="D118" s="17" t="n">
        <x:v>432.59</x:v>
      </x:c>
      <x:c r="E118" s="17" t="n">
        <x:v>0</x:v>
      </x:c>
      <x:c r="F118" s="36" t="n">
        <x:v>1</x:v>
      </x:c>
      <x:c r="G118" s="2" t="str">
        <x:v>XNYS</x:v>
      </x:c>
      <x:c r="H118" s="2" t="str">
        <x:v>XNYS</x:v>
      </x:c>
      <x:c r="I118" s="31" t="str">
        <x:f>IF(AND(G118=H118,C118&gt;0,ABS(C118-'Prices'!H118)&lt;=MAX(0.01,'Prices'!H118*0.000001)),"Match","Mismatch")</x:f>
        <x:v>Match</x:v>
      </x:c>
      <x:c r="J118" s="14" t="str">
        <x:v>data/bspi15/raw/marketstack/2026-10-10T11-34-55-985Z/constituents-v2.json</x:v>
      </x:c>
      <x:c r="K118" s="14" t="str"/>
      <x:c r="L118" s="38" t="n">
        <x:v>46305.48259241898</x:v>
      </x:c>
      <x:c r="M118" s="14" t="str"/>
    </x:row>
    <x:row r="119" ht="50" customHeight="1">
      <x:c r="A119" s="9" t="n">
        <x:v>46304</x:v>
      </x:c>
      <x:c r="B119" s="10" t="str">
        <x:v>SIE</x:v>
      </x:c>
      <x:c r="C119" s="33" t="n">
        <x:v>272.1</x:v>
      </x:c>
      <x:c r="D119" s="33" t="n">
        <x:v>272.1</x:v>
      </x:c>
      <x:c r="E119" s="33" t="n">
        <x:v>0</x:v>
      </x:c>
      <x:c r="F119" s="37" t="n">
        <x:v>1</x:v>
      </x:c>
      <x:c r="G119" s="10" t="str">
        <x:v>XETR</x:v>
      </x:c>
      <x:c r="H119" s="10" t="str">
        <x:v>XETR</x:v>
      </x:c>
      <x:c r="I119" s="32" t="str">
        <x:f>IF(AND(G119=H119,C119&gt;0,ABS(C119-'Prices'!H119)&lt;=MAX(0.01,'Prices'!H119*0.000001)),"Match","Mismatch")</x:f>
        <x:v>Match</x:v>
      </x:c>
      <x:c r="J119" s="16" t="str">
        <x:v>data/bspi15/raw/marketstack/2026-10-10T11-34-55-985Z/constituents-v2.json</x:v>
      </x:c>
      <x:c r="K119" s="16" t="str"/>
      <x:c r="L119" s="39" t="n">
        <x:v>46305.48259241898</x:v>
      </x:c>
      <x:c r="M119" s="16" t="str"/>
    </x:row>
    <x:row r="120" ht="50" customHeight="1">
      <x:c r="A120" s="8" t="n">
        <x:v>46304</x:v>
      </x:c>
      <x:c r="B120" s="2" t="str">
        <x:v>NXPI</x:v>
      </x:c>
      <x:c r="C120" s="17" t="n">
        <x:v>227.52</x:v>
      </x:c>
      <x:c r="D120" s="17" t="n">
        <x:v>227.52</x:v>
      </x:c>
      <x:c r="E120" s="17" t="n">
        <x:v>0</x:v>
      </x:c>
      <x:c r="F120" s="36" t="n">
        <x:v>1</x:v>
      </x:c>
      <x:c r="G120" s="2" t="str">
        <x:v>XNAS</x:v>
      </x:c>
      <x:c r="H120" s="2" t="str">
        <x:v>XNAS</x:v>
      </x:c>
      <x:c r="I120" s="31" t="str">
        <x:f>IF(AND(G120=H120,C120&gt;0,ABS(C120-'Prices'!H120)&lt;=MAX(0.01,'Prices'!H120*0.000001)),"Match","Mismatch")</x:f>
        <x:v>Match</x:v>
      </x:c>
      <x:c r="J120" s="14" t="str">
        <x:v>data/bspi15/raw/marketstack/2026-10-10T11-34-55-985Z/constituents-v2.json</x:v>
      </x:c>
      <x:c r="K120" s="14" t="str"/>
      <x:c r="L120" s="38" t="n">
        <x:v>46305.48259241898</x:v>
      </x:c>
      <x:c r="M120" s="14" t="str"/>
    </x:row>
    <x:row r="121" ht="50" customHeight="1">
      <x:c r="A121" s="9" t="n">
        <x:v>46304</x:v>
      </x:c>
      <x:c r="B121" s="10" t="str">
        <x:v>6383</x:v>
      </x:c>
      <x:c r="C121" s="33" t="n">
        <x:v>5773</x:v>
      </x:c>
      <x:c r="D121" s="33" t="n">
        <x:v>5773</x:v>
      </x:c>
      <x:c r="E121" s="33" t="n">
        <x:v>0</x:v>
      </x:c>
      <x:c r="F121" s="37" t="n">
        <x:v>1</x:v>
      </x:c>
      <x:c r="G121" s="10" t="str">
        <x:v>XJPX</x:v>
      </x:c>
      <x:c r="H121" s="10" t="str">
        <x:v>XJPX</x:v>
      </x:c>
      <x:c r="I121" s="32" t="str">
        <x:f>IF(AND(G121=H121,C121&gt;0,ABS(C121-'Prices'!H121)&lt;=MAX(0.01,'Prices'!H121*0.000001)),"Match","Mismatch")</x:f>
        <x:v>Match</x:v>
      </x:c>
      <x:c r="J121" s="16" t="str">
        <x:v>data/bspi15/raw/marketstack/2026-10-10T11-34-55-985Z/constituents-v2.json</x:v>
      </x:c>
      <x:c r="K121" s="16" t="str"/>
      <x:c r="L121" s="39" t="n">
        <x:v>46305.48259241898</x:v>
      </x:c>
      <x:c r="M121" s="16" t="str"/>
    </x:row>
    <x:row r="122" ht="50" customHeight="1">
      <x:c r="A122" s="8" t="n">
        <x:v>46304</x:v>
      </x:c>
      <x:c r="B122" s="2" t="str">
        <x:v>HEXA B</x:v>
      </x:c>
      <x:c r="C122" s="17" t="n">
        <x:v>104.15</x:v>
      </x:c>
      <x:c r="D122" s="17" t="n">
        <x:v>104.15</x:v>
      </x:c>
      <x:c r="E122" s="17" t="n">
        <x:v>0</x:v>
      </x:c>
      <x:c r="F122" s="36" t="n">
        <x:v>1</x:v>
      </x:c>
      <x:c r="G122" s="2" t="str">
        <x:v>XSTO</x:v>
      </x:c>
      <x:c r="H122" s="2" t="str">
        <x:v>XSTO</x:v>
      </x:c>
      <x:c r="I122" s="31" t="str">
        <x:f>IF(AND(G122=H122,C122&gt;0,ABS(C122-'Prices'!H122)&lt;=MAX(0.01,'Prices'!H122*0.000001)),"Match","Mismatch")</x:f>
        <x:v>Match</x:v>
      </x:c>
      <x:c r="J122" s="14" t="str">
        <x:v>data/bspi15/raw/marketstack/2026-10-10T11-34-55-985Z/constituents-v2.json</x:v>
      </x:c>
      <x:c r="K122" s="14" t="str"/>
      <x:c r="L122" s="38" t="n">
        <x:v>46305.48259241898</x:v>
      </x:c>
      <x:c r="M122" s="14" t="str"/>
    </x:row>
    <x:row r="123" ht="50" customHeight="1">
      <x:c r="A123" s="9" t="n">
        <x:v>46304</x:v>
      </x:c>
      <x:c r="B123" s="10" t="str">
        <x:v>S&amp;P 500</x:v>
      </x:c>
      <x:c r="C123" s="33" t="n">
        <x:v>7811.54</x:v>
      </x:c>
      <x:c r="D123" s="33" t="n">
        <x:v>7811.54</x:v>
      </x:c>
      <x:c r="E123" s="33" t="n">
        <x:v>0</x:v>
      </x:c>
      <x:c r="F123" s="37" t="n">
        <x:v>1</x:v>
      </x:c>
      <x:c r="G123" s="10" t="str">
        <x:v>INDX</x:v>
      </x:c>
      <x:c r="H123" s="10" t="str">
        <x:v>INDX</x:v>
      </x:c>
      <x:c r="I123" s="32" t="str">
        <x:f>IF(AND(G123=H123,C123&gt;0,ABS(C123-'Prices'!H123)&lt;=MAX(0.01,'Prices'!H123*0.000001)),"Match","Mismatch")</x:f>
        <x:v>Match</x:v>
      </x:c>
      <x:c r="J123" s="16" t="str">
        <x:v>data/bspi15/raw/marketstack/2026-10-10T11-34-55-985Z/benchmarks-v1.json</x:v>
      </x:c>
      <x:c r="K123" s="16" t="str"/>
      <x:c r="L123" s="39" t="n">
        <x:v>46305.48259241898</x:v>
      </x:c>
      <x:c r="M123" s="16" t="str"/>
    </x:row>
    <x:row r="124" ht="50" customHeight="1">
      <x:c r="A124" s="8" t="n">
        <x:v>46304</x:v>
      </x:c>
      <x:c r="B124" s="2" t="str">
        <x:v>Nasdaq Composite</x:v>
      </x:c>
      <x:c r="C124" s="17" t="n">
        <x:v>27366.1699</x:v>
      </x:c>
      <x:c r="D124" s="17" t="n">
        <x:v>27366.1699</x:v>
      </x:c>
      <x:c r="E124" s="17" t="n">
        <x:v>0</x:v>
      </x:c>
      <x:c r="F124" s="36" t="n">
        <x:v>1</x:v>
      </x:c>
      <x:c r="G124" s="2" t="str">
        <x:v>INDX</x:v>
      </x:c>
      <x:c r="H124" s="2" t="str">
        <x:v>INDX</x:v>
      </x:c>
      <x:c r="I124" s="31" t="str">
        <x:f>IF(AND(G124=H124,C124&gt;0,ABS(C124-'Prices'!H124)&lt;=MAX(0.01,'Prices'!H124*0.000001)),"Match","Mismatch")</x:f>
        <x:v>Match</x:v>
      </x:c>
      <x:c r="J124" s="14" t="str">
        <x:v>data/bspi15/raw/marketstack/2026-10-10T11-34-55-985Z/benchmarks-v1.json</x:v>
      </x:c>
      <x:c r="K124" s="14" t="str"/>
      <x:c r="L124" s="38" t="n">
        <x:v>46305.48259241898</x:v>
      </x:c>
      <x:c r="M124" s="14" t="str"/>
    </x:row>
    <x:row r="125" ht="50" customHeight="1">
      <x:c r="A125" s="9" t="n">
        <x:v>46307</x:v>
      </x:c>
      <x:c r="B125" s="10" t="str">
        <x:v>6954</x:v>
      </x:c>
      <x:c r="C125" s="33" t="n">
        <x:v>6103</x:v>
      </x:c>
      <x:c r="D125" s="33" t="n">
        <x:v>6103</x:v>
      </x:c>
      <x:c r="E125" s="33" t="n">
        <x:v>0</x:v>
      </x:c>
      <x:c r="F125" s="37" t="n">
        <x:v>1</x:v>
      </x:c>
      <x:c r="G125" s="10" t="str">
        <x:v>XJPX</x:v>
      </x:c>
      <x:c r="H125" s="10" t="str">
        <x:v>XJPX</x:v>
      </x:c>
      <x:c r="I125" s="32" t="str">
        <x:f>IF(AND(G125=H125,C125&gt;0,ABS(C125-'Prices'!H125)&lt;=MAX(0.01,'Prices'!H125*0.000001)),"Verified closure","Mismatch")</x:f>
        <x:v>Verified closure</x:v>
      </x:c>
      <x:c r="J125" s="16" t="str">
        <x:v>data/bspi15/raw/marketstack/2026-10-14T15-38-48-017Z/constituents-v2.json</x:v>
      </x:c>
      <x:c r="K125" s="16" t="str">
        <x:v>https://www.jpx.co.jp/english/corporate/about-jpx/calendar/index.html</x:v>
      </x:c>
      <x:c r="L125" s="39" t="n">
        <x:v>46309.651944641206</x:v>
      </x:c>
      <x:c r="M125" s="16" t="str"/>
    </x:row>
    <x:row r="126" ht="50" customHeight="1">
      <x:c r="A126" s="8" t="n">
        <x:v>46307</x:v>
      </x:c>
      <x:c r="B126" s="2" t="str">
        <x:v>6506</x:v>
      </x:c>
      <x:c r="C126" s="17" t="n">
        <x:v>4783</x:v>
      </x:c>
      <x:c r="D126" s="17" t="n">
        <x:v>4783</x:v>
      </x:c>
      <x:c r="E126" s="17" t="n">
        <x:v>0</x:v>
      </x:c>
      <x:c r="F126" s="36" t="n">
        <x:v>1</x:v>
      </x:c>
      <x:c r="G126" s="2" t="str">
        <x:v>XJPX</x:v>
      </x:c>
      <x:c r="H126" s="2" t="str">
        <x:v>XJPX</x:v>
      </x:c>
      <x:c r="I126" s="31" t="str">
        <x:f>IF(AND(G126=H126,C126&gt;0,ABS(C126-'Prices'!H126)&lt;=MAX(0.01,'Prices'!H126*0.000001)),"Verified closure","Mismatch")</x:f>
        <x:v>Verified closure</x:v>
      </x:c>
      <x:c r="J126" s="14" t="str">
        <x:v>data/bspi15/raw/marketstack/2026-10-14T15-38-48-017Z/constituents-v2.json</x:v>
      </x:c>
      <x:c r="K126" s="14" t="str">
        <x:v>https://www.jpx.co.jp/english/corporate/about-jpx/calendar/index.html</x:v>
      </x:c>
      <x:c r="L126" s="38" t="n">
        <x:v>46309.651944641206</x:v>
      </x:c>
      <x:c r="M126" s="14" t="str"/>
    </x:row>
    <x:row r="127" ht="50" customHeight="1">
      <x:c r="A127" s="9" t="n">
        <x:v>46307</x:v>
      </x:c>
      <x:c r="B127" s="15" t="str">
        <x:v>002747</x:v>
      </x:c>
      <x:c r="C127" s="33" t="n">
        <x:v>26.01</x:v>
      </x:c>
      <x:c r="D127" s="33" t="n">
        <x:v>26.01</x:v>
      </x:c>
      <x:c r="E127" s="33" t="n">
        <x:v>0</x:v>
      </x:c>
      <x:c r="F127" s="37" t="n">
        <x:v>1</x:v>
      </x:c>
      <x:c r="G127" s="10" t="str">
        <x:v>XSHE</x:v>
      </x:c>
      <x:c r="H127" s="10" t="str">
        <x:v>XSHE</x:v>
      </x:c>
      <x:c r="I127" s="32" t="str">
        <x:f>IF(AND(G127=H127,C127&gt;0,ABS(C127-'Prices'!H127)&lt;=MAX(0.01,'Prices'!H127*0.000001)),"Match","Mismatch")</x:f>
        <x:v>Match</x:v>
      </x:c>
      <x:c r="J127" s="16" t="str">
        <x:v>data/bspi15/raw/marketstack/2026-10-14T15-38-48-017Z/constituents-v2.json</x:v>
      </x:c>
      <x:c r="K127" s="16" t="str"/>
      <x:c r="L127" s="39" t="n">
        <x:v>46309.651944641206</x:v>
      </x:c>
      <x:c r="M127" s="16" t="str"/>
    </x:row>
    <x:row r="128" ht="50" customHeight="1">
      <x:c r="A128" s="8" t="n">
        <x:v>46307</x:v>
      </x:c>
      <x:c r="B128" s="2" t="str">
        <x:v>TER</x:v>
      </x:c>
      <x:c r="C128" s="17" t="n">
        <x:v>383.85</x:v>
      </x:c>
      <x:c r="D128" s="17" t="n">
        <x:v>383.85</x:v>
      </x:c>
      <x:c r="E128" s="17" t="n">
        <x:v>0</x:v>
      </x:c>
      <x:c r="F128" s="36" t="n">
        <x:v>1</x:v>
      </x:c>
      <x:c r="G128" s="2" t="str">
        <x:v>XNAS</x:v>
      </x:c>
      <x:c r="H128" s="2" t="str">
        <x:v>XNAS</x:v>
      </x:c>
      <x:c r="I128" s="31" t="str">
        <x:f>IF(AND(G128=H128,C128&gt;0,ABS(C128-'Prices'!H128)&lt;=MAX(0.01,'Prices'!H128*0.000001)),"Match","Mismatch")</x:f>
        <x:v>Match</x:v>
      </x:c>
      <x:c r="J128" s="14" t="str">
        <x:v>data/bspi15/raw/marketstack/2026-10-14T15-38-48-017Z/constituents-v2.json</x:v>
      </x:c>
      <x:c r="K128" s="14" t="str"/>
      <x:c r="L128" s="38" t="n">
        <x:v>46309.651944641206</x:v>
      </x:c>
      <x:c r="M128" s="14" t="str"/>
    </x:row>
    <x:row r="129" ht="50" customHeight="1">
      <x:c r="A129" s="9" t="n">
        <x:v>46307</x:v>
      </x:c>
      <x:c r="B129" s="10" t="str">
        <x:v>6268</x:v>
      </x:c>
      <x:c r="C129" s="33" t="n">
        <x:v>4859</x:v>
      </x:c>
      <x:c r="D129" s="33" t="n">
        <x:v>4859</x:v>
      </x:c>
      <x:c r="E129" s="33" t="n">
        <x:v>0</x:v>
      </x:c>
      <x:c r="F129" s="37" t="n">
        <x:v>1</x:v>
      </x:c>
      <x:c r="G129" s="10" t="str">
        <x:v>XJPX</x:v>
      </x:c>
      <x:c r="H129" s="10" t="str">
        <x:v>XJPX</x:v>
      </x:c>
      <x:c r="I129" s="32" t="str">
        <x:f>IF(AND(G129=H129,C129&gt;0,ABS(C129-'Prices'!H129)&lt;=MAX(0.01,'Prices'!H129*0.000001)),"Verified closure","Mismatch")</x:f>
        <x:v>Verified closure</x:v>
      </x:c>
      <x:c r="J129" s="16" t="str">
        <x:v>data/bspi15/raw/marketstack/2026-10-14T15-38-48-017Z/constituents-v2.json</x:v>
      </x:c>
      <x:c r="K129" s="16" t="str">
        <x:v>https://www.jpx.co.jp/english/corporate/about-jpx/calendar/index.html</x:v>
      </x:c>
      <x:c r="L129" s="39" t="n">
        <x:v>46309.651944641206</x:v>
      </x:c>
      <x:c r="M129" s="16" t="str"/>
    </x:row>
    <x:row r="130" ht="50" customHeight="1">
      <x:c r="A130" s="8" t="n">
        <x:v>46307</x:v>
      </x:c>
      <x:c r="B130" s="2" t="str">
        <x:v>300124</x:v>
      </x:c>
      <x:c r="C130" s="17" t="n">
        <x:v>50.45</x:v>
      </x:c>
      <x:c r="D130" s="17" t="n">
        <x:v>50.45</x:v>
      </x:c>
      <x:c r="E130" s="17" t="n">
        <x:v>0</x:v>
      </x:c>
      <x:c r="F130" s="36" t="n">
        <x:v>1</x:v>
      </x:c>
      <x:c r="G130" s="2" t="str">
        <x:v>XSHE</x:v>
      </x:c>
      <x:c r="H130" s="2" t="str">
        <x:v>XSHE</x:v>
      </x:c>
      <x:c r="I130" s="31" t="str">
        <x:f>IF(AND(G130=H130,C130&gt;0,ABS(C130-'Prices'!H130)&lt;=MAX(0.01,'Prices'!H130*0.000001)),"Match","Mismatch")</x:f>
        <x:v>Match</x:v>
      </x:c>
      <x:c r="J130" s="14" t="str">
        <x:v>data/bspi15/raw/marketstack/2026-10-14T15-38-48-017Z/constituents-v2.json</x:v>
      </x:c>
      <x:c r="K130" s="14" t="str"/>
      <x:c r="L130" s="38" t="n">
        <x:v>46309.651944641206</x:v>
      </x:c>
      <x:c r="M130" s="14" t="str"/>
    </x:row>
    <x:row r="131" ht="50" customHeight="1">
      <x:c r="A131" s="9" t="n">
        <x:v>46307</x:v>
      </x:c>
      <x:c r="B131" s="10" t="str">
        <x:v>6861</x:v>
      </x:c>
      <x:c r="C131" s="33" t="n">
        <x:v>80540</x:v>
      </x:c>
      <x:c r="D131" s="33" t="n">
        <x:v>80540</x:v>
      </x:c>
      <x:c r="E131" s="33" t="n">
        <x:v>0</x:v>
      </x:c>
      <x:c r="F131" s="37" t="n">
        <x:v>1</x:v>
      </x:c>
      <x:c r="G131" s="10" t="str">
        <x:v>XJPX</x:v>
      </x:c>
      <x:c r="H131" s="10" t="str">
        <x:v>XJPX</x:v>
      </x:c>
      <x:c r="I131" s="32" t="str">
        <x:f>IF(AND(G131=H131,C131&gt;0,ABS(C131-'Prices'!H131)&lt;=MAX(0.01,'Prices'!H131*0.000001)),"Verified closure","Mismatch")</x:f>
        <x:v>Verified closure</x:v>
      </x:c>
      <x:c r="J131" s="16" t="str">
        <x:v>data/bspi15/raw/marketstack/2026-10-14T15-38-48-017Z/constituents-v2.json</x:v>
      </x:c>
      <x:c r="K131" s="16" t="str">
        <x:v>https://www.jpx.co.jp/english/corporate/about-jpx/calendar/index.html</x:v>
      </x:c>
      <x:c r="L131" s="39" t="n">
        <x:v>46309.651944641206</x:v>
      </x:c>
      <x:c r="M131" s="16" t="str"/>
    </x:row>
    <x:row r="132" ht="50" customHeight="1">
      <x:c r="A132" s="8" t="n">
        <x:v>46307</x:v>
      </x:c>
      <x:c r="B132" s="2" t="str">
        <x:v>CGNX</x:v>
      </x:c>
      <x:c r="C132" s="17" t="n">
        <x:v>61.82</x:v>
      </x:c>
      <x:c r="D132" s="17" t="n">
        <x:v>61.82</x:v>
      </x:c>
      <x:c r="E132" s="17" t="n">
        <x:v>0</x:v>
      </x:c>
      <x:c r="F132" s="36" t="n">
        <x:v>1</x:v>
      </x:c>
      <x:c r="G132" s="2" t="str">
        <x:v>XNAS</x:v>
      </x:c>
      <x:c r="H132" s="2" t="str">
        <x:v>XNAS</x:v>
      </x:c>
      <x:c r="I132" s="31" t="str">
        <x:f>IF(AND(G132=H132,C132&gt;0,ABS(C132-'Prices'!H132)&lt;=MAX(0.01,'Prices'!H132*0.000001)),"Match","Mismatch")</x:f>
        <x:v>Match</x:v>
      </x:c>
      <x:c r="J132" s="14" t="str">
        <x:v>data/bspi15/raw/marketstack/2026-10-14T15-38-48-017Z/constituents-v2.json</x:v>
      </x:c>
      <x:c r="K132" s="14" t="str"/>
      <x:c r="L132" s="38" t="n">
        <x:v>46309.651944641206</x:v>
      </x:c>
      <x:c r="M132" s="14" t="str"/>
    </x:row>
    <x:row r="133" ht="50" customHeight="1">
      <x:c r="A133" s="9" t="n">
        <x:v>46307</x:v>
      </x:c>
      <x:c r="B133" s="10" t="str">
        <x:v>OUST</x:v>
      </x:c>
      <x:c r="C133" s="33" t="n">
        <x:v>37.27</x:v>
      </x:c>
      <x:c r="D133" s="33" t="n">
        <x:v>37.27</x:v>
      </x:c>
      <x:c r="E133" s="33" t="n">
        <x:v>0</x:v>
      </x:c>
      <x:c r="F133" s="37" t="n">
        <x:v>1</x:v>
      </x:c>
      <x:c r="G133" s="10" t="str">
        <x:v>XNAS</x:v>
      </x:c>
      <x:c r="H133" s="10" t="str">
        <x:v>XNYS</x:v>
      </x:c>
      <x:c r="I133" s="32" t="str">
        <x:f>IF(AND(OR(G133=H133,AND(B133="OUST",G133="XNAS",H133="XNYS",LEFT(M133,34)="ouster-marketstack-legacy-nyse-tag")),C133&gt;0,ABS(C133-'Prices'!H133)&lt;=MAX(0.01,'Prices'!H133*0.000001)),"Approved MIC exception","Mismatch")</x:f>
        <x:v>Approved MIC exception</x:v>
      </x:c>
      <x:c r="J133" s="16" t="str">
        <x:v>data/bspi15/raw/marketstack/2026-10-14T15-38-48-017Z/constituents-v2.json</x:v>
      </x:c>
      <x:c r="K133" s="16" t="str"/>
      <x:c r="L133" s="39" t="n">
        <x:v>46309.651944641206</x:v>
      </x:c>
      <x:c r="M133" s="16" t="str">
        <x:v>ouster-marketstack-legacy-nyse-tag; approved 2026-10-14; data/bspi15/provider-mic-exceptions.json</x:v>
      </x:c>
    </x:row>
    <x:row r="134" ht="50" customHeight="1">
      <x:c r="A134" s="8" t="n">
        <x:v>46307</x:v>
      </x:c>
      <x:c r="B134" s="2" t="str">
        <x:v>HSAI</x:v>
      </x:c>
      <x:c r="C134" s="17" t="n">
        <x:v>15.12</x:v>
      </x:c>
      <x:c r="D134" s="17" t="n">
        <x:v>15.12</x:v>
      </x:c>
      <x:c r="E134" s="17" t="n">
        <x:v>0</x:v>
      </x:c>
      <x:c r="F134" s="36" t="n">
        <x:v>1</x:v>
      </x:c>
      <x:c r="G134" s="2" t="str">
        <x:v>XNAS</x:v>
      </x:c>
      <x:c r="H134" s="2" t="str">
        <x:v>XNAS</x:v>
      </x:c>
      <x:c r="I134" s="31" t="str">
        <x:f>IF(AND(G134=H134,C134&gt;0,ABS(C134-'Prices'!H134)&lt;=MAX(0.01,'Prices'!H134*0.000001)),"Match","Mismatch")</x:f>
        <x:v>Match</x:v>
      </x:c>
      <x:c r="J134" s="14" t="str">
        <x:v>data/bspi15/raw/marketstack/2026-10-14T15-38-48-017Z/constituents-v2.json</x:v>
      </x:c>
      <x:c r="K134" s="14" t="str"/>
      <x:c r="L134" s="38" t="n">
        <x:v>46309.651944641206</x:v>
      </x:c>
      <x:c r="M134" s="14" t="str"/>
    </x:row>
    <x:row r="135" ht="50" customHeight="1">
      <x:c r="A135" s="9" t="n">
        <x:v>46307</x:v>
      </x:c>
      <x:c r="B135" s="10" t="str">
        <x:v>ROK</x:v>
      </x:c>
      <x:c r="C135" s="33" t="n">
        <x:v>433.97</x:v>
      </x:c>
      <x:c r="D135" s="33" t="n">
        <x:v>433.97</x:v>
      </x:c>
      <x:c r="E135" s="33" t="n">
        <x:v>0</x:v>
      </x:c>
      <x:c r="F135" s="37" t="n">
        <x:v>1</x:v>
      </x:c>
      <x:c r="G135" s="10" t="str">
        <x:v>XNYS</x:v>
      </x:c>
      <x:c r="H135" s="10" t="str">
        <x:v>XNYS</x:v>
      </x:c>
      <x:c r="I135" s="32" t="str">
        <x:f>IF(AND(G135=H135,C135&gt;0,ABS(C135-'Prices'!H135)&lt;=MAX(0.01,'Prices'!H135*0.000001)),"Match","Mismatch")</x:f>
        <x:v>Match</x:v>
      </x:c>
      <x:c r="J135" s="16" t="str">
        <x:v>data/bspi15/raw/marketstack/2026-10-14T15-38-48-017Z/constituents-v2.json</x:v>
      </x:c>
      <x:c r="K135" s="16" t="str"/>
      <x:c r="L135" s="39" t="n">
        <x:v>46309.651944641206</x:v>
      </x:c>
      <x:c r="M135" s="16" t="str"/>
    </x:row>
    <x:row r="136" ht="50" customHeight="1">
      <x:c r="A136" s="8" t="n">
        <x:v>46307</x:v>
      </x:c>
      <x:c r="B136" s="2" t="str">
        <x:v>SIE</x:v>
      </x:c>
      <x:c r="C136" s="17" t="n">
        <x:v>275.75</x:v>
      </x:c>
      <x:c r="D136" s="17" t="n">
        <x:v>275.75</x:v>
      </x:c>
      <x:c r="E136" s="17" t="n">
        <x:v>0</x:v>
      </x:c>
      <x:c r="F136" s="36" t="n">
        <x:v>1</x:v>
      </x:c>
      <x:c r="G136" s="2" t="str">
        <x:v>XETR</x:v>
      </x:c>
      <x:c r="H136" s="2" t="str">
        <x:v>XETR</x:v>
      </x:c>
      <x:c r="I136" s="31" t="str">
        <x:f>IF(AND(G136=H136,C136&gt;0,ABS(C136-'Prices'!H136)&lt;=MAX(0.01,'Prices'!H136*0.000001)),"Match","Mismatch")</x:f>
        <x:v>Match</x:v>
      </x:c>
      <x:c r="J136" s="14" t="str">
        <x:v>data/bspi15/raw/marketstack/2026-10-14T15-38-48-017Z/constituents-v2.json</x:v>
      </x:c>
      <x:c r="K136" s="14" t="str"/>
      <x:c r="L136" s="38" t="n">
        <x:v>46309.651944641206</x:v>
      </x:c>
      <x:c r="M136" s="14" t="str"/>
    </x:row>
    <x:row r="137" ht="50" customHeight="1">
      <x:c r="A137" s="9" t="n">
        <x:v>46307</x:v>
      </x:c>
      <x:c r="B137" s="10" t="str">
        <x:v>NXPI</x:v>
      </x:c>
      <x:c r="C137" s="33" t="n">
        <x:v>225.21</x:v>
      </x:c>
      <x:c r="D137" s="33" t="n">
        <x:v>225.21</x:v>
      </x:c>
      <x:c r="E137" s="33" t="n">
        <x:v>0</x:v>
      </x:c>
      <x:c r="F137" s="37" t="n">
        <x:v>1</x:v>
      </x:c>
      <x:c r="G137" s="10" t="str">
        <x:v>XNAS</x:v>
      </x:c>
      <x:c r="H137" s="10" t="str">
        <x:v>XNAS</x:v>
      </x:c>
      <x:c r="I137" s="32" t="str">
        <x:f>IF(AND(G137=H137,C137&gt;0,ABS(C137-'Prices'!H137)&lt;=MAX(0.01,'Prices'!H137*0.000001)),"Match","Mismatch")</x:f>
        <x:v>Match</x:v>
      </x:c>
      <x:c r="J137" s="16" t="str">
        <x:v>data/bspi15/raw/marketstack/2026-10-14T15-38-48-017Z/constituents-v2.json</x:v>
      </x:c>
      <x:c r="K137" s="16" t="str"/>
      <x:c r="L137" s="39" t="n">
        <x:v>46309.651944641206</x:v>
      </x:c>
      <x:c r="M137" s="16" t="str"/>
    </x:row>
    <x:row r="138" ht="50" customHeight="1">
      <x:c r="A138" s="8" t="n">
        <x:v>46307</x:v>
      </x:c>
      <x:c r="B138" s="2" t="str">
        <x:v>6383</x:v>
      </x:c>
      <x:c r="C138" s="17" t="n">
        <x:v>5773</x:v>
      </x:c>
      <x:c r="D138" s="17" t="n">
        <x:v>5773</x:v>
      </x:c>
      <x:c r="E138" s="17" t="n">
        <x:v>0</x:v>
      </x:c>
      <x:c r="F138" s="36" t="n">
        <x:v>1</x:v>
      </x:c>
      <x:c r="G138" s="2" t="str">
        <x:v>XJPX</x:v>
      </x:c>
      <x:c r="H138" s="2" t="str">
        <x:v>XJPX</x:v>
      </x:c>
      <x:c r="I138" s="31" t="str">
        <x:f>IF(AND(G138=H138,C138&gt;0,ABS(C138-'Prices'!H138)&lt;=MAX(0.01,'Prices'!H138*0.000001)),"Verified closure","Mismatch")</x:f>
        <x:v>Verified closure</x:v>
      </x:c>
      <x:c r="J138" s="14" t="str">
        <x:v>data/bspi15/raw/marketstack/2026-10-14T15-38-48-017Z/constituents-v2.json</x:v>
      </x:c>
      <x:c r="K138" s="14" t="str">
        <x:v>https://www.jpx.co.jp/english/corporate/about-jpx/calendar/index.html</x:v>
      </x:c>
      <x:c r="L138" s="38" t="n">
        <x:v>46309.651944641206</x:v>
      </x:c>
      <x:c r="M138" s="14" t="str"/>
    </x:row>
    <x:row r="139" ht="50" customHeight="1">
      <x:c r="A139" s="9" t="n">
        <x:v>46307</x:v>
      </x:c>
      <x:c r="B139" s="10" t="str">
        <x:v>HEXA B</x:v>
      </x:c>
      <x:c r="C139" s="33" t="n">
        <x:v>104.75</x:v>
      </x:c>
      <x:c r="D139" s="33" t="n">
        <x:v>104.75</x:v>
      </x:c>
      <x:c r="E139" s="33" t="n">
        <x:v>0</x:v>
      </x:c>
      <x:c r="F139" s="37" t="n">
        <x:v>1</x:v>
      </x:c>
      <x:c r="G139" s="10" t="str">
        <x:v>XSTO</x:v>
      </x:c>
      <x:c r="H139" s="10" t="str">
        <x:v>XSTO</x:v>
      </x:c>
      <x:c r="I139" s="32" t="str">
        <x:f>IF(AND(G139=H139,C139&gt;0,ABS(C139-'Prices'!H139)&lt;=MAX(0.01,'Prices'!H139*0.000001)),"Match","Mismatch")</x:f>
        <x:v>Match</x:v>
      </x:c>
      <x:c r="J139" s="16" t="str">
        <x:v>data/bspi15/raw/marketstack/2026-10-14T15-38-48-017Z/constituents-v2.json</x:v>
      </x:c>
      <x:c r="K139" s="16" t="str"/>
      <x:c r="L139" s="39" t="n">
        <x:v>46309.651944641206</x:v>
      </x:c>
      <x:c r="M139" s="16" t="str"/>
    </x:row>
    <x:row r="140" ht="50" customHeight="1">
      <x:c r="A140" s="8" t="n">
        <x:v>46307</x:v>
      </x:c>
      <x:c r="B140" s="2" t="str">
        <x:v>S&amp;P 500</x:v>
      </x:c>
      <x:c r="C140" s="17" t="n">
        <x:v>7807.24</x:v>
      </x:c>
      <x:c r="D140" s="17" t="n">
        <x:v>7807.24</x:v>
      </x:c>
      <x:c r="E140" s="17" t="n">
        <x:v>0</x:v>
      </x:c>
      <x:c r="F140" s="36" t="n">
        <x:v>1</x:v>
      </x:c>
      <x:c r="G140" s="2" t="str">
        <x:v>INDX</x:v>
      </x:c>
      <x:c r="H140" s="2" t="str">
        <x:v>INDX</x:v>
      </x:c>
      <x:c r="I140" s="31" t="str">
        <x:f>IF(AND(G140=H140,C140&gt;0,ABS(C140-'Prices'!H140)&lt;=MAX(0.01,'Prices'!H140*0.000001)),"Match","Mismatch")</x:f>
        <x:v>Match</x:v>
      </x:c>
      <x:c r="J140" s="14" t="str">
        <x:v>data/bspi15/raw/marketstack/2026-10-14T15-38-48-017Z/benchmarks-v1.json</x:v>
      </x:c>
      <x:c r="K140" s="14" t="str"/>
      <x:c r="L140" s="38" t="n">
        <x:v>46309.651944641206</x:v>
      </x:c>
      <x:c r="M140" s="14" t="str"/>
    </x:row>
    <x:row r="141" ht="50" customHeight="1">
      <x:c r="A141" s="9" t="n">
        <x:v>46307</x:v>
      </x:c>
      <x:c r="B141" s="10" t="str">
        <x:v>Nasdaq Composite</x:v>
      </x:c>
      <x:c r="C141" s="33" t="n">
        <x:v>27245.9023</x:v>
      </x:c>
      <x:c r="D141" s="33" t="n">
        <x:v>27245.9023</x:v>
      </x:c>
      <x:c r="E141" s="33" t="n">
        <x:v>0</x:v>
      </x:c>
      <x:c r="F141" s="37" t="n">
        <x:v>1</x:v>
      </x:c>
      <x:c r="G141" s="10" t="str">
        <x:v>INDX</x:v>
      </x:c>
      <x:c r="H141" s="10" t="str">
        <x:v>INDX</x:v>
      </x:c>
      <x:c r="I141" s="32" t="str">
        <x:f>IF(AND(G141=H141,C141&gt;0,ABS(C141-'Prices'!H141)&lt;=MAX(0.01,'Prices'!H141*0.000001)),"Match","Mismatch")</x:f>
        <x:v>Match</x:v>
      </x:c>
      <x:c r="J141" s="16" t="str">
        <x:v>data/bspi15/raw/marketstack/2026-10-14T15-38-48-017Z/benchmarks-v1.json</x:v>
      </x:c>
      <x:c r="K141" s="16" t="str"/>
      <x:c r="L141" s="39" t="n">
        <x:v>46309.651944641206</x:v>
      </x:c>
      <x:c r="M141" s="16" t="str"/>
    </x:row>
    <x:row r="142" ht="50" customHeight="1">
      <x:c r="A142" s="8" t="n">
        <x:v>46308</x:v>
      </x:c>
      <x:c r="B142" s="2" t="str">
        <x:v>6954</x:v>
      </x:c>
      <x:c r="C142" s="17" t="n">
        <x:v>6192</x:v>
      </x:c>
      <x:c r="D142" s="17" t="n">
        <x:v>6192</x:v>
      </x:c>
      <x:c r="E142" s="17" t="n">
        <x:v>0</x:v>
      </x:c>
      <x:c r="F142" s="36" t="n">
        <x:v>1</x:v>
      </x:c>
      <x:c r="G142" s="2" t="str">
        <x:v>XJPX</x:v>
      </x:c>
      <x:c r="H142" s="2" t="str">
        <x:v>XJPX</x:v>
      </x:c>
      <x:c r="I142" s="31" t="str">
        <x:f>IF(AND(G142=H142,C142&gt;0,ABS(C142-'Prices'!H142)&lt;=MAX(0.01,'Prices'!H142*0.000001)),"Match","Mismatch")</x:f>
        <x:v>Match</x:v>
      </x:c>
      <x:c r="J142" s="14" t="str">
        <x:v>data/bspi15/raw/marketstack/2026-10-14T15-41-18-457Z/constituents-v2.json</x:v>
      </x:c>
      <x:c r="K142" s="14" t="str"/>
      <x:c r="L142" s="38" t="n">
        <x:v>46309.65368584491</x:v>
      </x:c>
      <x:c r="M142" s="14" t="str"/>
    </x:row>
    <x:row r="143" ht="50" customHeight="1">
      <x:c r="A143" s="9" t="n">
        <x:v>46308</x:v>
      </x:c>
      <x:c r="B143" s="10" t="str">
        <x:v>6506</x:v>
      </x:c>
      <x:c r="C143" s="33" t="n">
        <x:v>4840</x:v>
      </x:c>
      <x:c r="D143" s="33" t="n">
        <x:v>4840</x:v>
      </x:c>
      <x:c r="E143" s="33" t="n">
        <x:v>0</x:v>
      </x:c>
      <x:c r="F143" s="37" t="n">
        <x:v>1</x:v>
      </x:c>
      <x:c r="G143" s="10" t="str">
        <x:v>XJPX</x:v>
      </x:c>
      <x:c r="H143" s="10" t="str">
        <x:v>XJPX</x:v>
      </x:c>
      <x:c r="I143" s="32" t="str">
        <x:f>IF(AND(G143=H143,C143&gt;0,ABS(C143-'Prices'!H143)&lt;=MAX(0.01,'Prices'!H143*0.000001)),"Match","Mismatch")</x:f>
        <x:v>Match</x:v>
      </x:c>
      <x:c r="J143" s="16" t="str">
        <x:v>data/bspi15/raw/marketstack/2026-10-14T15-41-18-457Z/constituents-v2.json</x:v>
      </x:c>
      <x:c r="K143" s="16" t="str"/>
      <x:c r="L143" s="39" t="n">
        <x:v>46309.65368584491</x:v>
      </x:c>
      <x:c r="M143" s="16" t="str"/>
    </x:row>
    <x:row r="144" ht="50" customHeight="1">
      <x:c r="A144" s="8" t="n">
        <x:v>46308</x:v>
      </x:c>
      <x:c r="B144" s="13" t="str">
        <x:v>002747</x:v>
      </x:c>
      <x:c r="C144" s="17" t="n">
        <x:v>25.88</x:v>
      </x:c>
      <x:c r="D144" s="17" t="n">
        <x:v>25.88</x:v>
      </x:c>
      <x:c r="E144" s="17" t="n">
        <x:v>0</x:v>
      </x:c>
      <x:c r="F144" s="36" t="n">
        <x:v>1</x:v>
      </x:c>
      <x:c r="G144" s="2" t="str">
        <x:v>XSHE</x:v>
      </x:c>
      <x:c r="H144" s="2" t="str">
        <x:v>XSHE</x:v>
      </x:c>
      <x:c r="I144" s="31" t="str">
        <x:f>IF(AND(G144=H144,C144&gt;0,ABS(C144-'Prices'!H144)&lt;=MAX(0.01,'Prices'!H144*0.000001)),"Match","Mismatch")</x:f>
        <x:v>Match</x:v>
      </x:c>
      <x:c r="J144" s="14" t="str">
        <x:v>data/bspi15/raw/marketstack/2026-10-14T15-41-18-457Z/constituents-v2.json</x:v>
      </x:c>
      <x:c r="K144" s="14" t="str"/>
      <x:c r="L144" s="38" t="n">
        <x:v>46309.65368584491</x:v>
      </x:c>
      <x:c r="M144" s="14" t="str"/>
    </x:row>
    <x:row r="145" ht="50" customHeight="1">
      <x:c r="A145" s="9" t="n">
        <x:v>46308</x:v>
      </x:c>
      <x:c r="B145" s="10" t="str">
        <x:v>TER</x:v>
      </x:c>
      <x:c r="C145" s="33" t="n">
        <x:v>380.29</x:v>
      </x:c>
      <x:c r="D145" s="33" t="n">
        <x:v>380.29</x:v>
      </x:c>
      <x:c r="E145" s="33" t="n">
        <x:v>0</x:v>
      </x:c>
      <x:c r="F145" s="37" t="n">
        <x:v>1</x:v>
      </x:c>
      <x:c r="G145" s="10" t="str">
        <x:v>XNAS</x:v>
      </x:c>
      <x:c r="H145" s="10" t="str">
        <x:v>XNAS</x:v>
      </x:c>
      <x:c r="I145" s="32" t="str">
        <x:f>IF(AND(G145=H145,C145&gt;0,ABS(C145-'Prices'!H145)&lt;=MAX(0.01,'Prices'!H145*0.000001)),"Match","Mismatch")</x:f>
        <x:v>Match</x:v>
      </x:c>
      <x:c r="J145" s="16" t="str">
        <x:v>data/bspi15/raw/marketstack/2026-10-14T15-41-18-457Z/constituents-v2.json</x:v>
      </x:c>
      <x:c r="K145" s="16" t="str"/>
      <x:c r="L145" s="39" t="n">
        <x:v>46309.65368584491</x:v>
      </x:c>
      <x:c r="M145" s="16" t="str"/>
    </x:row>
    <x:row r="146" ht="50" customHeight="1">
      <x:c r="A146" s="8" t="n">
        <x:v>46308</x:v>
      </x:c>
      <x:c r="B146" s="2" t="str">
        <x:v>6268</x:v>
      </x:c>
      <x:c r="C146" s="17" t="n">
        <x:v>4862</x:v>
      </x:c>
      <x:c r="D146" s="17" t="n">
        <x:v>4862</x:v>
      </x:c>
      <x:c r="E146" s="17" t="n">
        <x:v>0</x:v>
      </x:c>
      <x:c r="F146" s="36" t="n">
        <x:v>1</x:v>
      </x:c>
      <x:c r="G146" s="2" t="str">
        <x:v>XJPX</x:v>
      </x:c>
      <x:c r="H146" s="2" t="str">
        <x:v>XJPX</x:v>
      </x:c>
      <x:c r="I146" s="31" t="str">
        <x:f>IF(AND(G146=H146,C146&gt;0,ABS(C146-'Prices'!H146)&lt;=MAX(0.01,'Prices'!H146*0.000001)),"Match","Mismatch")</x:f>
        <x:v>Match</x:v>
      </x:c>
      <x:c r="J146" s="14" t="str">
        <x:v>data/bspi15/raw/marketstack/2026-10-14T15-41-18-457Z/constituents-v2.json</x:v>
      </x:c>
      <x:c r="K146" s="14" t="str"/>
      <x:c r="L146" s="38" t="n">
        <x:v>46309.65368584491</x:v>
      </x:c>
      <x:c r="M146" s="14" t="str"/>
    </x:row>
    <x:row r="147" ht="50" customHeight="1">
      <x:c r="A147" s="9" t="n">
        <x:v>46308</x:v>
      </x:c>
      <x:c r="B147" s="10" t="str">
        <x:v>300124</x:v>
      </x:c>
      <x:c r="C147" s="33" t="n">
        <x:v>50.89</x:v>
      </x:c>
      <x:c r="D147" s="33" t="n">
        <x:v>50.89</x:v>
      </x:c>
      <x:c r="E147" s="33" t="n">
        <x:v>0</x:v>
      </x:c>
      <x:c r="F147" s="37" t="n">
        <x:v>1</x:v>
      </x:c>
      <x:c r="G147" s="10" t="str">
        <x:v>XSHE</x:v>
      </x:c>
      <x:c r="H147" s="10" t="str">
        <x:v>XSHE</x:v>
      </x:c>
      <x:c r="I147" s="32" t="str">
        <x:f>IF(AND(G147=H147,C147&gt;0,ABS(C147-'Prices'!H147)&lt;=MAX(0.01,'Prices'!H147*0.000001)),"Match","Mismatch")</x:f>
        <x:v>Match</x:v>
      </x:c>
      <x:c r="J147" s="16" t="str">
        <x:v>data/bspi15/raw/marketstack/2026-10-14T15-41-18-457Z/constituents-v2.json</x:v>
      </x:c>
      <x:c r="K147" s="16" t="str"/>
      <x:c r="L147" s="39" t="n">
        <x:v>46309.65368584491</x:v>
      </x:c>
      <x:c r="M147" s="16" t="str"/>
    </x:row>
    <x:row r="148" ht="50" customHeight="1">
      <x:c r="A148" s="8" t="n">
        <x:v>46308</x:v>
      </x:c>
      <x:c r="B148" s="2" t="str">
        <x:v>6861</x:v>
      </x:c>
      <x:c r="C148" s="17" t="n">
        <x:v>79770</x:v>
      </x:c>
      <x:c r="D148" s="17" t="n">
        <x:v>79770</x:v>
      </x:c>
      <x:c r="E148" s="17" t="n">
        <x:v>0</x:v>
      </x:c>
      <x:c r="F148" s="36" t="n">
        <x:v>1</x:v>
      </x:c>
      <x:c r="G148" s="2" t="str">
        <x:v>XJPX</x:v>
      </x:c>
      <x:c r="H148" s="2" t="str">
        <x:v>XJPX</x:v>
      </x:c>
      <x:c r="I148" s="31" t="str">
        <x:f>IF(AND(G148=H148,C148&gt;0,ABS(C148-'Prices'!H148)&lt;=MAX(0.01,'Prices'!H148*0.000001)),"Match","Mismatch")</x:f>
        <x:v>Match</x:v>
      </x:c>
      <x:c r="J148" s="14" t="str">
        <x:v>data/bspi15/raw/marketstack/2026-10-14T15-41-18-457Z/constituents-v2.json</x:v>
      </x:c>
      <x:c r="K148" s="14" t="str"/>
      <x:c r="L148" s="38" t="n">
        <x:v>46309.65368584491</x:v>
      </x:c>
      <x:c r="M148" s="14" t="str"/>
    </x:row>
    <x:row r="149" ht="50" customHeight="1">
      <x:c r="A149" s="9" t="n">
        <x:v>46308</x:v>
      </x:c>
      <x:c r="B149" s="10" t="str">
        <x:v>CGNX</x:v>
      </x:c>
      <x:c r="C149" s="33" t="n">
        <x:v>60.01</x:v>
      </x:c>
      <x:c r="D149" s="33" t="n">
        <x:v>60.01</x:v>
      </x:c>
      <x:c r="E149" s="33" t="n">
        <x:v>0</x:v>
      </x:c>
      <x:c r="F149" s="37" t="n">
        <x:v>1</x:v>
      </x:c>
      <x:c r="G149" s="10" t="str">
        <x:v>XNAS</x:v>
      </x:c>
      <x:c r="H149" s="10" t="str">
        <x:v>XNAS</x:v>
      </x:c>
      <x:c r="I149" s="32" t="str">
        <x:f>IF(AND(G149=H149,C149&gt;0,ABS(C149-'Prices'!H149)&lt;=MAX(0.01,'Prices'!H149*0.000001)),"Match","Mismatch")</x:f>
        <x:v>Match</x:v>
      </x:c>
      <x:c r="J149" s="16" t="str">
        <x:v>data/bspi15/raw/marketstack/2026-10-14T15-41-18-457Z/constituents-v2.json</x:v>
      </x:c>
      <x:c r="K149" s="16" t="str"/>
      <x:c r="L149" s="39" t="n">
        <x:v>46309.65368584491</x:v>
      </x:c>
      <x:c r="M149" s="16" t="str"/>
    </x:row>
    <x:row r="150" ht="50" customHeight="1">
      <x:c r="A150" s="8" t="n">
        <x:v>46308</x:v>
      </x:c>
      <x:c r="B150" s="2" t="str">
        <x:v>OUST</x:v>
      </x:c>
      <x:c r="C150" s="17" t="n">
        <x:v>35.33</x:v>
      </x:c>
      <x:c r="D150" s="17" t="n">
        <x:v>35.33</x:v>
      </x:c>
      <x:c r="E150" s="17" t="n">
        <x:v>0</x:v>
      </x:c>
      <x:c r="F150" s="36" t="n">
        <x:v>1</x:v>
      </x:c>
      <x:c r="G150" s="2" t="str">
        <x:v>XNAS</x:v>
      </x:c>
      <x:c r="H150" s="2" t="str">
        <x:v>XNYS</x:v>
      </x:c>
      <x:c r="I150" s="31" t="str">
        <x:f>IF(AND(OR(G150=H150,AND(B150="OUST",G150="XNAS",H150="XNYS",LEFT(M150,34)="ouster-marketstack-legacy-nyse-tag")),C150&gt;0,ABS(C150-'Prices'!H150)&lt;=MAX(0.01,'Prices'!H150*0.000001)),"Approved MIC exception","Mismatch")</x:f>
        <x:v>Approved MIC exception</x:v>
      </x:c>
      <x:c r="J150" s="14" t="str">
        <x:v>data/bspi15/raw/marketstack/2026-10-14T15-41-18-457Z/constituents-v2.json</x:v>
      </x:c>
      <x:c r="K150" s="14" t="str"/>
      <x:c r="L150" s="38" t="n">
        <x:v>46309.65368584491</x:v>
      </x:c>
      <x:c r="M150" s="14" t="str">
        <x:v>ouster-marketstack-legacy-nyse-tag; approved 2026-10-14; data/bspi15/provider-mic-exceptions.json</x:v>
      </x:c>
    </x:row>
    <x:row r="151" ht="50" customHeight="1">
      <x:c r="A151" s="9" t="n">
        <x:v>46308</x:v>
      </x:c>
      <x:c r="B151" s="10" t="str">
        <x:v>HSAI</x:v>
      </x:c>
      <x:c r="C151" s="33" t="n">
        <x:v>14.46</x:v>
      </x:c>
      <x:c r="D151" s="33" t="n">
        <x:v>14.46</x:v>
      </x:c>
      <x:c r="E151" s="33" t="n">
        <x:v>0</x:v>
      </x:c>
      <x:c r="F151" s="37" t="n">
        <x:v>1</x:v>
      </x:c>
      <x:c r="G151" s="10" t="str">
        <x:v>XNAS</x:v>
      </x:c>
      <x:c r="H151" s="10" t="str">
        <x:v>XNAS</x:v>
      </x:c>
      <x:c r="I151" s="32" t="str">
        <x:f>IF(AND(G151=H151,C151&gt;0,ABS(C151-'Prices'!H151)&lt;=MAX(0.01,'Prices'!H151*0.000001)),"Match","Mismatch")</x:f>
        <x:v>Match</x:v>
      </x:c>
      <x:c r="J151" s="16" t="str">
        <x:v>data/bspi15/raw/marketstack/2026-10-14T15-41-18-457Z/constituents-v2.json</x:v>
      </x:c>
      <x:c r="K151" s="16" t="str"/>
      <x:c r="L151" s="39" t="n">
        <x:v>46309.65368584491</x:v>
      </x:c>
      <x:c r="M151" s="16" t="str"/>
    </x:row>
    <x:row r="152" ht="50" customHeight="1">
      <x:c r="A152" s="8" t="n">
        <x:v>46308</x:v>
      </x:c>
      <x:c r="B152" s="2" t="str">
        <x:v>ROK</x:v>
      </x:c>
      <x:c r="C152" s="17" t="n">
        <x:v>432.29</x:v>
      </x:c>
      <x:c r="D152" s="17" t="n">
        <x:v>432.29</x:v>
      </x:c>
      <x:c r="E152" s="17" t="n">
        <x:v>0</x:v>
      </x:c>
      <x:c r="F152" s="36" t="n">
        <x:v>1</x:v>
      </x:c>
      <x:c r="G152" s="2" t="str">
        <x:v>XNYS</x:v>
      </x:c>
      <x:c r="H152" s="2" t="str">
        <x:v>XNYS</x:v>
      </x:c>
      <x:c r="I152" s="31" t="str">
        <x:f>IF(AND(G152=H152,C152&gt;0,ABS(C152-'Prices'!H152)&lt;=MAX(0.01,'Prices'!H152*0.000001)),"Match","Mismatch")</x:f>
        <x:v>Match</x:v>
      </x:c>
      <x:c r="J152" s="14" t="str">
        <x:v>data/bspi15/raw/marketstack/2026-10-14T15-41-18-457Z/constituents-v2.json</x:v>
      </x:c>
      <x:c r="K152" s="14" t="str"/>
      <x:c r="L152" s="38" t="n">
        <x:v>46309.65368584491</x:v>
      </x:c>
      <x:c r="M152" s="14" t="str"/>
    </x:row>
    <x:row r="153" ht="50" customHeight="1">
      <x:c r="A153" s="9" t="n">
        <x:v>46308</x:v>
      </x:c>
      <x:c r="B153" s="10" t="str">
        <x:v>SIE</x:v>
      </x:c>
      <x:c r="C153" s="33" t="n">
        <x:v>274.5</x:v>
      </x:c>
      <x:c r="D153" s="33" t="n">
        <x:v>274.5</x:v>
      </x:c>
      <x:c r="E153" s="33" t="n">
        <x:v>0</x:v>
      </x:c>
      <x:c r="F153" s="37" t="n">
        <x:v>1</x:v>
      </x:c>
      <x:c r="G153" s="10" t="str">
        <x:v>XETR</x:v>
      </x:c>
      <x:c r="H153" s="10" t="str">
        <x:v>XETR</x:v>
      </x:c>
      <x:c r="I153" s="32" t="str">
        <x:f>IF(AND(G153=H153,C153&gt;0,ABS(C153-'Prices'!H153)&lt;=MAX(0.01,'Prices'!H153*0.000001)),"Match","Mismatch")</x:f>
        <x:v>Match</x:v>
      </x:c>
      <x:c r="J153" s="16" t="str">
        <x:v>data/bspi15/raw/marketstack/2026-10-14T15-41-18-457Z/constituents-v2.json</x:v>
      </x:c>
      <x:c r="K153" s="16" t="str"/>
      <x:c r="L153" s="39" t="n">
        <x:v>46309.65368584491</x:v>
      </x:c>
      <x:c r="M153" s="16" t="str"/>
    </x:row>
    <x:row r="154" ht="50" customHeight="1">
      <x:c r="A154" s="8" t="n">
        <x:v>46308</x:v>
      </x:c>
      <x:c r="B154" s="2" t="str">
        <x:v>NXPI</x:v>
      </x:c>
      <x:c r="C154" s="17" t="n">
        <x:v>226.32</x:v>
      </x:c>
      <x:c r="D154" s="17" t="n">
        <x:v>226.32</x:v>
      </x:c>
      <x:c r="E154" s="17" t="n">
        <x:v>0</x:v>
      </x:c>
      <x:c r="F154" s="36" t="n">
        <x:v>1</x:v>
      </x:c>
      <x:c r="G154" s="2" t="str">
        <x:v>XNAS</x:v>
      </x:c>
      <x:c r="H154" s="2" t="str">
        <x:v>XNAS</x:v>
      </x:c>
      <x:c r="I154" s="31" t="str">
        <x:f>IF(AND(G154=H154,C154&gt;0,ABS(C154-'Prices'!H154)&lt;=MAX(0.01,'Prices'!H154*0.000001)),"Match","Mismatch")</x:f>
        <x:v>Match</x:v>
      </x:c>
      <x:c r="J154" s="14" t="str">
        <x:v>data/bspi15/raw/marketstack/2026-10-14T15-41-18-457Z/constituents-v2.json</x:v>
      </x:c>
      <x:c r="K154" s="14" t="str"/>
      <x:c r="L154" s="38" t="n">
        <x:v>46309.65368584491</x:v>
      </x:c>
      <x:c r="M154" s="14" t="str"/>
    </x:row>
    <x:row r="155" ht="50" customHeight="1">
      <x:c r="A155" s="9" t="n">
        <x:v>46308</x:v>
      </x:c>
      <x:c r="B155" s="10" t="str">
        <x:v>6383</x:v>
      </x:c>
      <x:c r="C155" s="33" t="n">
        <x:v>5806</x:v>
      </x:c>
      <x:c r="D155" s="33" t="n">
        <x:v>5806</x:v>
      </x:c>
      <x:c r="E155" s="33" t="n">
        <x:v>0</x:v>
      </x:c>
      <x:c r="F155" s="37" t="n">
        <x:v>1</x:v>
      </x:c>
      <x:c r="G155" s="10" t="str">
        <x:v>XJPX</x:v>
      </x:c>
      <x:c r="H155" s="10" t="str">
        <x:v>XJPX</x:v>
      </x:c>
      <x:c r="I155" s="32" t="str">
        <x:f>IF(AND(G155=H155,C155&gt;0,ABS(C155-'Prices'!H155)&lt;=MAX(0.01,'Prices'!H155*0.000001)),"Match","Mismatch")</x:f>
        <x:v>Match</x:v>
      </x:c>
      <x:c r="J155" s="16" t="str">
        <x:v>data/bspi15/raw/marketstack/2026-10-14T15-41-18-457Z/constituents-v2.json</x:v>
      </x:c>
      <x:c r="K155" s="16" t="str"/>
      <x:c r="L155" s="39" t="n">
        <x:v>46309.65368584491</x:v>
      </x:c>
      <x:c r="M155" s="16" t="str"/>
    </x:row>
    <x:row r="156" ht="50" customHeight="1">
      <x:c r="A156" s="8" t="n">
        <x:v>46308</x:v>
      </x:c>
      <x:c r="B156" s="2" t="str">
        <x:v>HEXA B</x:v>
      </x:c>
      <x:c r="C156" s="17" t="n">
        <x:v>104.4</x:v>
      </x:c>
      <x:c r="D156" s="17" t="n">
        <x:v>104.4</x:v>
      </x:c>
      <x:c r="E156" s="17" t="n">
        <x:v>0</x:v>
      </x:c>
      <x:c r="F156" s="36" t="n">
        <x:v>1</x:v>
      </x:c>
      <x:c r="G156" s="2" t="str">
        <x:v>XSTO</x:v>
      </x:c>
      <x:c r="H156" s="2" t="str">
        <x:v>XSTO</x:v>
      </x:c>
      <x:c r="I156" s="31" t="str">
        <x:f>IF(AND(G156=H156,C156&gt;0,ABS(C156-'Prices'!H156)&lt;=MAX(0.01,'Prices'!H156*0.000001)),"Match","Mismatch")</x:f>
        <x:v>Match</x:v>
      </x:c>
      <x:c r="J156" s="14" t="str">
        <x:v>data/bspi15/raw/marketstack/2026-10-14T15-41-18-457Z/constituents-v2.json</x:v>
      </x:c>
      <x:c r="K156" s="14" t="str"/>
      <x:c r="L156" s="38" t="n">
        <x:v>46309.65368584491</x:v>
      </x:c>
      <x:c r="M156" s="14" t="str"/>
    </x:row>
    <x:row r="157" ht="50" customHeight="1">
      <x:c r="A157" s="9" t="n">
        <x:v>46308</x:v>
      </x:c>
      <x:c r="B157" s="10" t="str">
        <x:v>S&amp;P 500</x:v>
      </x:c>
      <x:c r="C157" s="33" t="n">
        <x:v>7805.45</x:v>
      </x:c>
      <x:c r="D157" s="33" t="n">
        <x:v>7805.45</x:v>
      </x:c>
      <x:c r="E157" s="33" t="n">
        <x:v>0</x:v>
      </x:c>
      <x:c r="F157" s="37" t="n">
        <x:v>1</x:v>
      </x:c>
      <x:c r="G157" s="10" t="str">
        <x:v>INDX</x:v>
      </x:c>
      <x:c r="H157" s="10" t="str">
        <x:v>INDX</x:v>
      </x:c>
      <x:c r="I157" s="32" t="str">
        <x:f>IF(AND(G157=H157,C157&gt;0,ABS(C157-'Prices'!H157)&lt;=MAX(0.01,'Prices'!H157*0.000001)),"Match","Mismatch")</x:f>
        <x:v>Match</x:v>
      </x:c>
      <x:c r="J157" s="16" t="str">
        <x:v>data/bspi15/raw/marketstack/2026-10-14T15-41-18-457Z/benchmarks-v1.json</x:v>
      </x:c>
      <x:c r="K157" s="16" t="str"/>
      <x:c r="L157" s="39" t="n">
        <x:v>46309.65368584491</x:v>
      </x:c>
      <x:c r="M157" s="16" t="str"/>
    </x:row>
    <x:row r="158" ht="50" customHeight="1">
      <x:c r="A158" s="8" t="n">
        <x:v>46308</x:v>
      </x:c>
      <x:c r="B158" s="2" t="str">
        <x:v>Nasdaq Composite</x:v>
      </x:c>
      <x:c r="C158" s="17" t="n">
        <x:v>27204.3809</x:v>
      </x:c>
      <x:c r="D158" s="17" t="n">
        <x:v>27204.3809</x:v>
      </x:c>
      <x:c r="E158" s="17" t="n">
        <x:v>0</x:v>
      </x:c>
      <x:c r="F158" s="36" t="n">
        <x:v>1</x:v>
      </x:c>
      <x:c r="G158" s="2" t="str">
        <x:v>INDX</x:v>
      </x:c>
      <x:c r="H158" s="2" t="str">
        <x:v>INDX</x:v>
      </x:c>
      <x:c r="I158" s="31" t="str">
        <x:f>IF(AND(G158=H158,C158&gt;0,ABS(C158-'Prices'!H158)&lt;=MAX(0.01,'Prices'!H158*0.000001)),"Match","Mismatch")</x:f>
        <x:v>Match</x:v>
      </x:c>
      <x:c r="J158" s="14" t="str">
        <x:v>data/bspi15/raw/marketstack/2026-10-14T15-41-18-457Z/benchmarks-v1.json</x:v>
      </x:c>
      <x:c r="K158" s="14" t="str"/>
      <x:c r="L158" s="38" t="n">
        <x:v>46309.65368584491</x:v>
      </x:c>
      <x:c r="M158" s="14" t="str"/>
    </x:row>
  </x:sheetData>
  <x:mergeCells>
    <x:mergeCell ref="A2:D2"/>
    <x:mergeCell ref="A3:J3"/>
  </x:mergeCells>
  <x:pageMargins left="0.7" right="0.7" top="0.75" bottom="0.75" header="0.3" footer="0.3"/>
  <x:tableParts count="1">
    <x:tablePart xmlns:r="http://schemas.openxmlformats.org/officeDocument/2006/relationships" r:id="Rf84e84f9099640f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31" hidden="0" customWidth="1"/>
    <x:col min="8" max="8" width="46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3" t="str">
        <x:v>Corporate action history</x:v>
      </x:c>
      <x:c r="B2" s="2"/>
      <x:c r="C2" s="2"/>
      <x:c r="D2" s="2"/>
      <x:c r="E2" s="2"/>
      <x:c r="F2" s="2"/>
      <x:c r="G2" s="2"/>
      <x:c r="H2" s="2"/>
    </x:row>
    <x:row r="3" ht="27" customHeight="1">
      <x:c r="A3" s="4" t="str">
        <x:v>Provider split, dividend and security identity checks for each reviewed observation.</x:v>
      </x:c>
      <x:c r="B3" s="4"/>
      <x:c r="C3" s="4"/>
      <x:c r="D3" s="4"/>
      <x:c r="E3" s="4"/>
      <x:c r="F3" s="4"/>
      <x:c r="G3" s="4"/>
      <x:c r="H3" s="4"/>
    </x:row>
    <x:row r="4" ht="27" customHeight="1">
      <x:c r="A4" s="2"/>
      <x:c r="B4" s="2"/>
      <x:c r="C4" s="2"/>
      <x:c r="D4" s="2"/>
      <x:c r="E4" s="2"/>
      <x:c r="F4" s="2"/>
      <x:c r="G4" s="2"/>
      <x:c r="H4" s="2"/>
    </x:row>
    <x:row r="5" ht="46" customHeight="1">
      <x:c r="A5" s="7" t="str">
        <x:v>Date</x:v>
      </x:c>
      <x:c r="B5" s="7" t="str">
        <x:v>Company</x:v>
      </x:c>
      <x:c r="C5" s="7" t="str">
        <x:v>Ticker</x:v>
      </x:c>
      <x:c r="D5" s="7" t="str">
        <x:v>Source date</x:v>
      </x:c>
      <x:c r="E5" s="7" t="str">
        <x:v>Dividend</x:v>
      </x:c>
      <x:c r="F5" s="7" t="str">
        <x:v>Split factor</x:v>
      </x:c>
      <x:c r="G5" s="7" t="str">
        <x:v>Provider review</x:v>
      </x:c>
      <x:c r="H5" s="7" t="str">
        <x:v>Treatment</x:v>
      </x:c>
    </x:row>
    <x:row r="6" ht="27" customHeight="1">
      <x:c r="A6" s="8" t="n">
        <x:v>46296</x:v>
      </x:c>
      <x:c r="B6" s="2" t="str">
        <x:v>FANUC</x:v>
      </x:c>
      <x:c r="C6" s="2" t="str">
        <x:v>6954</x:v>
      </x:c>
      <x:c r="D6" s="8" t="n">
        <x:v>46296</x:v>
      </x:c>
      <x:c r="E6" s="19" t="n">
        <x:f>'Source Audit'!E6</x:f>
        <x:v>0</x:v>
      </x:c>
      <x:c r="F6" s="40" t="n">
        <x:f>'Source Audit'!F6</x:f>
        <x:v>1</x:v>
      </x:c>
      <x:c r="G6" s="11" t="str">
        <x:f>IF(AND(E6=0,F6=1,'Source Audit'!I6&lt;&gt;"Mismatch"),"No provider flag","Review required")</x:f>
        <x:v>No provider flag</x:v>
      </x:c>
      <x:c r="H6" s="2" t="str">
        <x:v>No continuity adjustment</x:v>
      </x:c>
    </x:row>
    <x:row r="7" ht="27" customHeight="1">
      <x:c r="A7" s="9" t="n">
        <x:v>46296</x:v>
      </x:c>
      <x:c r="B7" s="10" t="str">
        <x:v>Yaskawa Electric</x:v>
      </x:c>
      <x:c r="C7" s="10" t="str">
        <x:v>6506</x:v>
      </x:c>
      <x:c r="D7" s="9" t="n">
        <x:v>46296</x:v>
      </x:c>
      <x:c r="E7" s="18" t="n">
        <x:f>'Source Audit'!E7</x:f>
        <x:v>0</x:v>
      </x:c>
      <x:c r="F7" s="41" t="n">
        <x:f>'Source Audit'!F7</x:f>
        <x:v>1</x:v>
      </x:c>
      <x:c r="G7" s="12" t="str">
        <x:f>IF(AND(E7=0,F7=1,'Source Audit'!I7&lt;&gt;"Mismatch"),"No provider flag","Review required")</x:f>
        <x:v>No provider flag</x:v>
      </x:c>
      <x:c r="H7" s="10" t="str">
        <x:v>No continuity adjustment</x:v>
      </x:c>
    </x:row>
    <x:row r="8" ht="27" customHeight="1">
      <x:c r="A8" s="8" t="n">
        <x:v>46296</x:v>
      </x:c>
      <x:c r="B8" s="2" t="str">
        <x:v>Estun Automation</x:v>
      </x:c>
      <x:c r="C8" s="13" t="str">
        <x:v>002747</x:v>
      </x:c>
      <x:c r="D8" s="8" t="n">
        <x:v>46295</x:v>
      </x:c>
      <x:c r="E8" s="19" t="n">
        <x:f>'Source Audit'!E8</x:f>
        <x:v>0</x:v>
      </x:c>
      <x:c r="F8" s="40" t="n">
        <x:f>'Source Audit'!F8</x:f>
        <x:v>1</x:v>
      </x:c>
      <x:c r="G8" s="11" t="str">
        <x:f>IF(AND(E8=0,F8=1,'Source Audit'!I8&lt;&gt;"Mismatch"),"No provider flag","Review required")</x:f>
        <x:v>No provider flag</x:v>
      </x:c>
      <x:c r="H8" s="2" t="str">
        <x:v>No continuity adjustment</x:v>
      </x:c>
    </x:row>
    <x:row r="9" ht="27" customHeight="1">
      <x:c r="A9" s="9" t="n">
        <x:v>46296</x:v>
      </x:c>
      <x:c r="B9" s="10" t="str">
        <x:v>Teradyne</x:v>
      </x:c>
      <x:c r="C9" s="10" t="str">
        <x:v>TER</x:v>
      </x:c>
      <x:c r="D9" s="9" t="n">
        <x:v>46296</x:v>
      </x:c>
      <x:c r="E9" s="18" t="n">
        <x:f>'Source Audit'!E9</x:f>
        <x:v>0</x:v>
      </x:c>
      <x:c r="F9" s="41" t="n">
        <x:f>'Source Audit'!F9</x:f>
        <x:v>1</x:v>
      </x:c>
      <x:c r="G9" s="12" t="str">
        <x:f>IF(AND(E9=0,F9=1,'Source Audit'!I9&lt;&gt;"Mismatch"),"No provider flag","Review required")</x:f>
        <x:v>No provider flag</x:v>
      </x:c>
      <x:c r="H9" s="10" t="str">
        <x:v>No continuity adjustment</x:v>
      </x:c>
    </x:row>
    <x:row r="10" ht="27" customHeight="1">
      <x:c r="A10" s="8" t="n">
        <x:v>46296</x:v>
      </x:c>
      <x:c r="B10" s="2" t="str">
        <x:v>Nabtesco</x:v>
      </x:c>
      <x:c r="C10" s="2" t="str">
        <x:v>6268</x:v>
      </x:c>
      <x:c r="D10" s="8" t="n">
        <x:v>46296</x:v>
      </x:c>
      <x:c r="E10" s="19" t="n">
        <x:f>'Source Audit'!E10</x:f>
        <x:v>0</x:v>
      </x:c>
      <x:c r="F10" s="40" t="n">
        <x:f>'Source Audit'!F10</x:f>
        <x:v>1</x:v>
      </x:c>
      <x:c r="G10" s="11" t="str">
        <x:f>IF(AND(E10=0,F10=1,'Source Audit'!I10&lt;&gt;"Mismatch"),"No provider flag","Review required")</x:f>
        <x:v>No provider flag</x:v>
      </x:c>
      <x:c r="H10" s="2" t="str">
        <x:v>No continuity adjustment</x:v>
      </x:c>
    </x:row>
    <x:row r="11" ht="27" customHeight="1">
      <x:c r="A11" s="9" t="n">
        <x:v>46296</x:v>
      </x:c>
      <x:c r="B11" s="10" t="str">
        <x:v>Inovance</x:v>
      </x:c>
      <x:c r="C11" s="10" t="str">
        <x:v>300124</x:v>
      </x:c>
      <x:c r="D11" s="9" t="n">
        <x:v>46295</x:v>
      </x:c>
      <x:c r="E11" s="18" t="n">
        <x:f>'Source Audit'!E11</x:f>
        <x:v>0</x:v>
      </x:c>
      <x:c r="F11" s="41" t="n">
        <x:f>'Source Audit'!F11</x:f>
        <x:v>1</x:v>
      </x:c>
      <x:c r="G11" s="12" t="str">
        <x:f>IF(AND(E11=0,F11=1,'Source Audit'!I11&lt;&gt;"Mismatch"),"No provider flag","Review required")</x:f>
        <x:v>No provider flag</x:v>
      </x:c>
      <x:c r="H11" s="10" t="str">
        <x:v>No continuity adjustment</x:v>
      </x:c>
    </x:row>
    <x:row r="12" ht="27" customHeight="1">
      <x:c r="A12" s="8" t="n">
        <x:v>46296</x:v>
      </x:c>
      <x:c r="B12" s="2" t="str">
        <x:v>Keyence</x:v>
      </x:c>
      <x:c r="C12" s="2" t="str">
        <x:v>6861</x:v>
      </x:c>
      <x:c r="D12" s="8" t="n">
        <x:v>46296</x:v>
      </x:c>
      <x:c r="E12" s="19" t="n">
        <x:f>'Source Audit'!E12</x:f>
        <x:v>0</x:v>
      </x:c>
      <x:c r="F12" s="40" t="n">
        <x:f>'Source Audit'!F12</x:f>
        <x:v>1</x:v>
      </x:c>
      <x:c r="G12" s="11" t="str">
        <x:f>IF(AND(E12=0,F12=1,'Source Audit'!I12&lt;&gt;"Mismatch"),"No provider flag","Review required")</x:f>
        <x:v>No provider flag</x:v>
      </x:c>
      <x:c r="H12" s="2" t="str">
        <x:v>No continuity adjustment</x:v>
      </x:c>
    </x:row>
    <x:row r="13" ht="27" customHeight="1">
      <x:c r="A13" s="9" t="n">
        <x:v>46296</x:v>
      </x:c>
      <x:c r="B13" s="10" t="str">
        <x:v>Cognex</x:v>
      </x:c>
      <x:c r="C13" s="10" t="str">
        <x:v>CGNX</x:v>
      </x:c>
      <x:c r="D13" s="9" t="n">
        <x:v>46296</x:v>
      </x:c>
      <x:c r="E13" s="18" t="n">
        <x:f>'Source Audit'!E13</x:f>
        <x:v>0</x:v>
      </x:c>
      <x:c r="F13" s="41" t="n">
        <x:f>'Source Audit'!F13</x:f>
        <x:v>1</x:v>
      </x:c>
      <x:c r="G13" s="12" t="str">
        <x:f>IF(AND(E13=0,F13=1,'Source Audit'!I13&lt;&gt;"Mismatch"),"No provider flag","Review required")</x:f>
        <x:v>No provider flag</x:v>
      </x:c>
      <x:c r="H13" s="10" t="str">
        <x:v>No continuity adjustment</x:v>
      </x:c>
    </x:row>
    <x:row r="14" ht="44" customHeight="1">
      <x:c r="A14" s="8" t="n">
        <x:v>46296</x:v>
      </x:c>
      <x:c r="B14" s="2" t="str">
        <x:v>Ouster</x:v>
      </x:c>
      <x:c r="C14" s="2" t="str">
        <x:v>OUST</x:v>
      </x:c>
      <x:c r="D14" s="8" t="n">
        <x:v>46296</x:v>
      </x:c>
      <x:c r="E14" s="19" t="n">
        <x:f>'Source Audit'!E14</x:f>
        <x:v>0</x:v>
      </x:c>
      <x:c r="F14" s="40" t="n">
        <x:f>'Source Audit'!F14</x:f>
        <x:v>1</x:v>
      </x:c>
      <x:c r="G14" s="11" t="str">
        <x:f>IF(AND(E14=0,F14=1,'Source Audit'!I14&lt;&gt;"Mismatch"),"No provider flag","Review required")</x:f>
        <x:v>No provider flag</x:v>
      </x:c>
      <x:c r="H14" s="14" t="str">
        <x:v>Approved provider MIC exception; no price adjustment</x:v>
      </x:c>
    </x:row>
    <x:row r="15" ht="27" customHeight="1">
      <x:c r="A15" s="9" t="n">
        <x:v>46296</x:v>
      </x:c>
      <x:c r="B15" s="10" t="str">
        <x:v>Hesai</x:v>
      </x:c>
      <x:c r="C15" s="10" t="str">
        <x:v>HSAI</x:v>
      </x:c>
      <x:c r="D15" s="9" t="n">
        <x:v>46296</x:v>
      </x:c>
      <x:c r="E15" s="18" t="n">
        <x:f>'Source Audit'!E15</x:f>
        <x:v>0</x:v>
      </x:c>
      <x:c r="F15" s="41" t="n">
        <x:f>'Source Audit'!F15</x:f>
        <x:v>1</x:v>
      </x:c>
      <x:c r="G15" s="12" t="str">
        <x:f>IF(AND(E15=0,F15=1,'Source Audit'!I15&lt;&gt;"Mismatch"),"No provider flag","Review required")</x:f>
        <x:v>No provider flag</x:v>
      </x:c>
      <x:c r="H15" s="10" t="str">
        <x:v>No continuity adjustment</x:v>
      </x:c>
    </x:row>
    <x:row r="16" ht="27" customHeight="1">
      <x:c r="A16" s="8" t="n">
        <x:v>46296</x:v>
      </x:c>
      <x:c r="B16" s="2" t="str">
        <x:v>Rockwell Automation</x:v>
      </x:c>
      <x:c r="C16" s="2" t="str">
        <x:v>ROK</x:v>
      </x:c>
      <x:c r="D16" s="8" t="n">
        <x:v>46296</x:v>
      </x:c>
      <x:c r="E16" s="19" t="n">
        <x:f>'Source Audit'!E16</x:f>
        <x:v>0</x:v>
      </x:c>
      <x:c r="F16" s="40" t="n">
        <x:f>'Source Audit'!F16</x:f>
        <x:v>1</x:v>
      </x:c>
      <x:c r="G16" s="11" t="str">
        <x:f>IF(AND(E16=0,F16=1,'Source Audit'!I16&lt;&gt;"Mismatch"),"No provider flag","Review required")</x:f>
        <x:v>No provider flag</x:v>
      </x:c>
      <x:c r="H16" s="2" t="str">
        <x:v>No continuity adjustment</x:v>
      </x:c>
    </x:row>
    <x:row r="17" ht="27" customHeight="1">
      <x:c r="A17" s="9" t="n">
        <x:v>46296</x:v>
      </x:c>
      <x:c r="B17" s="10" t="str">
        <x:v>Siemens</x:v>
      </x:c>
      <x:c r="C17" s="10" t="str">
        <x:v>SIE</x:v>
      </x:c>
      <x:c r="D17" s="9" t="n">
        <x:v>46296</x:v>
      </x:c>
      <x:c r="E17" s="18" t="n">
        <x:f>'Source Audit'!E17</x:f>
        <x:v>0</x:v>
      </x:c>
      <x:c r="F17" s="41" t="n">
        <x:f>'Source Audit'!F17</x:f>
        <x:v>1</x:v>
      </x:c>
      <x:c r="G17" s="12" t="str">
        <x:f>IF(AND(E17=0,F17=1,'Source Audit'!I17&lt;&gt;"Mismatch"),"No provider flag","Review required")</x:f>
        <x:v>No provider flag</x:v>
      </x:c>
      <x:c r="H17" s="10" t="str">
        <x:v>No continuity adjustment</x:v>
      </x:c>
    </x:row>
    <x:row r="18" ht="27" customHeight="1">
      <x:c r="A18" s="8" t="n">
        <x:v>46296</x:v>
      </x:c>
      <x:c r="B18" s="2" t="str">
        <x:v>NXP Semiconductors</x:v>
      </x:c>
      <x:c r="C18" s="2" t="str">
        <x:v>NXPI</x:v>
      </x:c>
      <x:c r="D18" s="8" t="n">
        <x:v>46296</x:v>
      </x:c>
      <x:c r="E18" s="19" t="n">
        <x:f>'Source Audit'!E18</x:f>
        <x:v>0</x:v>
      </x:c>
      <x:c r="F18" s="40" t="n">
        <x:f>'Source Audit'!F18</x:f>
        <x:v>1</x:v>
      </x:c>
      <x:c r="G18" s="11" t="str">
        <x:f>IF(AND(E18=0,F18=1,'Source Audit'!I18&lt;&gt;"Mismatch"),"No provider flag","Review required")</x:f>
        <x:v>No provider flag</x:v>
      </x:c>
      <x:c r="H18" s="2" t="str">
        <x:v>No continuity adjustment</x:v>
      </x:c>
    </x:row>
    <x:row r="19" ht="27" customHeight="1">
      <x:c r="A19" s="9" t="n">
        <x:v>46296</x:v>
      </x:c>
      <x:c r="B19" s="10" t="str">
        <x:v>Daifuku</x:v>
      </x:c>
      <x:c r="C19" s="10" t="str">
        <x:v>6383</x:v>
      </x:c>
      <x:c r="D19" s="9" t="n">
        <x:v>46296</x:v>
      </x:c>
      <x:c r="E19" s="18" t="n">
        <x:f>'Source Audit'!E19</x:f>
        <x:v>0</x:v>
      </x:c>
      <x:c r="F19" s="41" t="n">
        <x:f>'Source Audit'!F19</x:f>
        <x:v>1</x:v>
      </x:c>
      <x:c r="G19" s="12" t="str">
        <x:f>IF(AND(E19=0,F19=1,'Source Audit'!I19&lt;&gt;"Mismatch"),"No provider flag","Review required")</x:f>
        <x:v>No provider flag</x:v>
      </x:c>
      <x:c r="H19" s="10" t="str">
        <x:v>No continuity adjustment</x:v>
      </x:c>
    </x:row>
    <x:row r="20" ht="27" customHeight="1">
      <x:c r="A20" s="8" t="n">
        <x:v>46296</x:v>
      </x:c>
      <x:c r="B20" s="2" t="str">
        <x:v>Hexagon</x:v>
      </x:c>
      <x:c r="C20" s="2" t="str">
        <x:v>HEXA B</x:v>
      </x:c>
      <x:c r="D20" s="8" t="n">
        <x:v>46296</x:v>
      </x:c>
      <x:c r="E20" s="19" t="n">
        <x:f>'Source Audit'!E20</x:f>
        <x:v>0</x:v>
      </x:c>
      <x:c r="F20" s="40" t="n">
        <x:f>'Source Audit'!F20</x:f>
        <x:v>1</x:v>
      </x:c>
      <x:c r="G20" s="11" t="str">
        <x:f>IF(AND(E20=0,F20=1,'Source Audit'!I20&lt;&gt;"Mismatch"),"No provider flag","Review required")</x:f>
        <x:v>No provider flag</x:v>
      </x:c>
      <x:c r="H20" s="2" t="str">
        <x:v>No continuity adjustment</x:v>
      </x:c>
    </x:row>
    <x:row r="21" ht="27" customHeight="1">
      <x:c r="A21" s="9" t="n">
        <x:v>46296</x:v>
      </x:c>
      <x:c r="B21" s="10" t="str">
        <x:v>S&amp;P 500</x:v>
      </x:c>
      <x:c r="C21" s="10" t="str">
        <x:v>S&amp;P 500</x:v>
      </x:c>
      <x:c r="D21" s="9" t="n">
        <x:v>46296</x:v>
      </x:c>
      <x:c r="E21" s="18" t="n">
        <x:f>'Source Audit'!E21</x:f>
        <x:v>0</x:v>
      </x:c>
      <x:c r="F21" s="41" t="n">
        <x:f>'Source Audit'!F21</x:f>
        <x:v>1</x:v>
      </x:c>
      <x:c r="G21" s="12" t="str">
        <x:f>IF(AND(E21=0,F21=1,'Source Audit'!I21&lt;&gt;"Mismatch"),"No provider flag","Review required")</x:f>
        <x:v>No provider flag</x:v>
      </x:c>
      <x:c r="H21" s="10" t="str">
        <x:v>No continuity adjustment</x:v>
      </x:c>
    </x:row>
    <x:row r="22" ht="27" customHeight="1">
      <x:c r="A22" s="8" t="n">
        <x:v>46296</x:v>
      </x:c>
      <x:c r="B22" s="2" t="str">
        <x:v>Nasdaq Composite</x:v>
      </x:c>
      <x:c r="C22" s="2" t="str">
        <x:v>Nasdaq Composite</x:v>
      </x:c>
      <x:c r="D22" s="8" t="n">
        <x:v>46296</x:v>
      </x:c>
      <x:c r="E22" s="19" t="n">
        <x:f>'Source Audit'!E22</x:f>
        <x:v>0</x:v>
      </x:c>
      <x:c r="F22" s="40" t="n">
        <x:f>'Source Audit'!F22</x:f>
        <x:v>1</x:v>
      </x:c>
      <x:c r="G22" s="11" t="str">
        <x:f>IF(AND(E22=0,F22=1,'Source Audit'!I22&lt;&gt;"Mismatch"),"No provider flag","Review required")</x:f>
        <x:v>No provider flag</x:v>
      </x:c>
      <x:c r="H22" s="2" t="str">
        <x:v>No continuity adjustment</x:v>
      </x:c>
    </x:row>
    <x:row r="23" ht="27" customHeight="1">
      <x:c r="A23" s="9" t="n">
        <x:v>46297</x:v>
      </x:c>
      <x:c r="B23" s="10" t="str">
        <x:v>FANUC</x:v>
      </x:c>
      <x:c r="C23" s="10" t="str">
        <x:v>6954</x:v>
      </x:c>
      <x:c r="D23" s="9" t="n">
        <x:v>46297</x:v>
      </x:c>
      <x:c r="E23" s="18" t="n">
        <x:f>'Source Audit'!E23</x:f>
        <x:v>0</x:v>
      </x:c>
      <x:c r="F23" s="41" t="n">
        <x:f>'Source Audit'!F23</x:f>
        <x:v>1</x:v>
      </x:c>
      <x:c r="G23" s="12" t="str">
        <x:f>IF(AND(E23=0,F23=1,'Source Audit'!I23&lt;&gt;"Mismatch"),"No provider flag","Review required")</x:f>
        <x:v>No provider flag</x:v>
      </x:c>
      <x:c r="H23" s="10" t="str">
        <x:v>No continuity adjustment</x:v>
      </x:c>
    </x:row>
    <x:row r="24" ht="27" customHeight="1">
      <x:c r="A24" s="8" t="n">
        <x:v>46297</x:v>
      </x:c>
      <x:c r="B24" s="2" t="str">
        <x:v>Yaskawa Electric</x:v>
      </x:c>
      <x:c r="C24" s="2" t="str">
        <x:v>6506</x:v>
      </x:c>
      <x:c r="D24" s="8" t="n">
        <x:v>46297</x:v>
      </x:c>
      <x:c r="E24" s="19" t="n">
        <x:f>'Source Audit'!E24</x:f>
        <x:v>0</x:v>
      </x:c>
      <x:c r="F24" s="40" t="n">
        <x:f>'Source Audit'!F24</x:f>
        <x:v>1</x:v>
      </x:c>
      <x:c r="G24" s="11" t="str">
        <x:f>IF(AND(E24=0,F24=1,'Source Audit'!I24&lt;&gt;"Mismatch"),"No provider flag","Review required")</x:f>
        <x:v>No provider flag</x:v>
      </x:c>
      <x:c r="H24" s="2" t="str">
        <x:v>No continuity adjustment</x:v>
      </x:c>
    </x:row>
    <x:row r="25" ht="27" customHeight="1">
      <x:c r="A25" s="9" t="n">
        <x:v>46297</x:v>
      </x:c>
      <x:c r="B25" s="10" t="str">
        <x:v>Estun Automation</x:v>
      </x:c>
      <x:c r="C25" s="15" t="str">
        <x:v>002747</x:v>
      </x:c>
      <x:c r="D25" s="9" t="n">
        <x:v>46295</x:v>
      </x:c>
      <x:c r="E25" s="18" t="n">
        <x:f>'Source Audit'!E25</x:f>
        <x:v>0</x:v>
      </x:c>
      <x:c r="F25" s="41" t="n">
        <x:f>'Source Audit'!F25</x:f>
        <x:v>1</x:v>
      </x:c>
      <x:c r="G25" s="12" t="str">
        <x:f>IF(AND(E25=0,F25=1,'Source Audit'!I25&lt;&gt;"Mismatch"),"No provider flag","Review required")</x:f>
        <x:v>No provider flag</x:v>
      </x:c>
      <x:c r="H25" s="10" t="str">
        <x:v>No continuity adjustment</x:v>
      </x:c>
    </x:row>
    <x:row r="26" ht="27" customHeight="1">
      <x:c r="A26" s="8" t="n">
        <x:v>46297</x:v>
      </x:c>
      <x:c r="B26" s="2" t="str">
        <x:v>Teradyne</x:v>
      </x:c>
      <x:c r="C26" s="2" t="str">
        <x:v>TER</x:v>
      </x:c>
      <x:c r="D26" s="8" t="n">
        <x:v>46297</x:v>
      </x:c>
      <x:c r="E26" s="19" t="n">
        <x:f>'Source Audit'!E26</x:f>
        <x:v>0</x:v>
      </x:c>
      <x:c r="F26" s="40" t="n">
        <x:f>'Source Audit'!F26</x:f>
        <x:v>1</x:v>
      </x:c>
      <x:c r="G26" s="11" t="str">
        <x:f>IF(AND(E26=0,F26=1,'Source Audit'!I26&lt;&gt;"Mismatch"),"No provider flag","Review required")</x:f>
        <x:v>No provider flag</x:v>
      </x:c>
      <x:c r="H26" s="2" t="str">
        <x:v>No continuity adjustment</x:v>
      </x:c>
    </x:row>
    <x:row r="27" ht="27" customHeight="1">
      <x:c r="A27" s="9" t="n">
        <x:v>46297</x:v>
      </x:c>
      <x:c r="B27" s="10" t="str">
        <x:v>Nabtesco</x:v>
      </x:c>
      <x:c r="C27" s="10" t="str">
        <x:v>6268</x:v>
      </x:c>
      <x:c r="D27" s="9" t="n">
        <x:v>46297</x:v>
      </x:c>
      <x:c r="E27" s="18" t="n">
        <x:f>'Source Audit'!E27</x:f>
        <x:v>0</x:v>
      </x:c>
      <x:c r="F27" s="41" t="n">
        <x:f>'Source Audit'!F27</x:f>
        <x:v>1</x:v>
      </x:c>
      <x:c r="G27" s="12" t="str">
        <x:f>IF(AND(E27=0,F27=1,'Source Audit'!I27&lt;&gt;"Mismatch"),"No provider flag","Review required")</x:f>
        <x:v>No provider flag</x:v>
      </x:c>
      <x:c r="H27" s="10" t="str">
        <x:v>No continuity adjustment</x:v>
      </x:c>
    </x:row>
    <x:row r="28" ht="27" customHeight="1">
      <x:c r="A28" s="8" t="n">
        <x:v>46297</x:v>
      </x:c>
      <x:c r="B28" s="2" t="str">
        <x:v>Inovance</x:v>
      </x:c>
      <x:c r="C28" s="2" t="str">
        <x:v>300124</x:v>
      </x:c>
      <x:c r="D28" s="8" t="n">
        <x:v>46295</x:v>
      </x:c>
      <x:c r="E28" s="19" t="n">
        <x:f>'Source Audit'!E28</x:f>
        <x:v>0</x:v>
      </x:c>
      <x:c r="F28" s="40" t="n">
        <x:f>'Source Audit'!F28</x:f>
        <x:v>1</x:v>
      </x:c>
      <x:c r="G28" s="11" t="str">
        <x:f>IF(AND(E28=0,F28=1,'Source Audit'!I28&lt;&gt;"Mismatch"),"No provider flag","Review required")</x:f>
        <x:v>No provider flag</x:v>
      </x:c>
      <x:c r="H28" s="2" t="str">
        <x:v>No continuity adjustment</x:v>
      </x:c>
    </x:row>
    <x:row r="29" ht="27" customHeight="1">
      <x:c r="A29" s="9" t="n">
        <x:v>46297</x:v>
      </x:c>
      <x:c r="B29" s="10" t="str">
        <x:v>Keyence</x:v>
      </x:c>
      <x:c r="C29" s="10" t="str">
        <x:v>6861</x:v>
      </x:c>
      <x:c r="D29" s="9" t="n">
        <x:v>46297</x:v>
      </x:c>
      <x:c r="E29" s="18" t="n">
        <x:f>'Source Audit'!E29</x:f>
        <x:v>0</x:v>
      </x:c>
      <x:c r="F29" s="41" t="n">
        <x:f>'Source Audit'!F29</x:f>
        <x:v>1</x:v>
      </x:c>
      <x:c r="G29" s="12" t="str">
        <x:f>IF(AND(E29=0,F29=1,'Source Audit'!I29&lt;&gt;"Mismatch"),"No provider flag","Review required")</x:f>
        <x:v>No provider flag</x:v>
      </x:c>
      <x:c r="H29" s="10" t="str">
        <x:v>No continuity adjustment</x:v>
      </x:c>
    </x:row>
    <x:row r="30" ht="27" customHeight="1">
      <x:c r="A30" s="8" t="n">
        <x:v>46297</x:v>
      </x:c>
      <x:c r="B30" s="2" t="str">
        <x:v>Cognex</x:v>
      </x:c>
      <x:c r="C30" s="2" t="str">
        <x:v>CGNX</x:v>
      </x:c>
      <x:c r="D30" s="8" t="n">
        <x:v>46297</x:v>
      </x:c>
      <x:c r="E30" s="19" t="n">
        <x:f>'Source Audit'!E30</x:f>
        <x:v>0</x:v>
      </x:c>
      <x:c r="F30" s="40" t="n">
        <x:f>'Source Audit'!F30</x:f>
        <x:v>1</x:v>
      </x:c>
      <x:c r="G30" s="11" t="str">
        <x:f>IF(AND(E30=0,F30=1,'Source Audit'!I30&lt;&gt;"Mismatch"),"No provider flag","Review required")</x:f>
        <x:v>No provider flag</x:v>
      </x:c>
      <x:c r="H30" s="2" t="str">
        <x:v>No continuity adjustment</x:v>
      </x:c>
    </x:row>
    <x:row r="31" ht="44" customHeight="1">
      <x:c r="A31" s="9" t="n">
        <x:v>46297</x:v>
      </x:c>
      <x:c r="B31" s="10" t="str">
        <x:v>Ouster</x:v>
      </x:c>
      <x:c r="C31" s="10" t="str">
        <x:v>OUST</x:v>
      </x:c>
      <x:c r="D31" s="9" t="n">
        <x:v>46297</x:v>
      </x:c>
      <x:c r="E31" s="18" t="n">
        <x:f>'Source Audit'!E31</x:f>
        <x:v>0</x:v>
      </x:c>
      <x:c r="F31" s="41" t="n">
        <x:f>'Source Audit'!F31</x:f>
        <x:v>1</x:v>
      </x:c>
      <x:c r="G31" s="12" t="str">
        <x:f>IF(AND(E31=0,F31=1,'Source Audit'!I31&lt;&gt;"Mismatch"),"No provider flag","Review required")</x:f>
        <x:v>No provider flag</x:v>
      </x:c>
      <x:c r="H31" s="16" t="str">
        <x:v>Approved provider MIC exception; no price adjustment</x:v>
      </x:c>
    </x:row>
    <x:row r="32" ht="27" customHeight="1">
      <x:c r="A32" s="8" t="n">
        <x:v>46297</x:v>
      </x:c>
      <x:c r="B32" s="2" t="str">
        <x:v>Hesai</x:v>
      </x:c>
      <x:c r="C32" s="2" t="str">
        <x:v>HSAI</x:v>
      </x:c>
      <x:c r="D32" s="8" t="n">
        <x:v>46297</x:v>
      </x:c>
      <x:c r="E32" s="19" t="n">
        <x:f>'Source Audit'!E32</x:f>
        <x:v>0</x:v>
      </x:c>
      <x:c r="F32" s="40" t="n">
        <x:f>'Source Audit'!F32</x:f>
        <x:v>1</x:v>
      </x:c>
      <x:c r="G32" s="11" t="str">
        <x:f>IF(AND(E32=0,F32=1,'Source Audit'!I32&lt;&gt;"Mismatch"),"No provider flag","Review required")</x:f>
        <x:v>No provider flag</x:v>
      </x:c>
      <x:c r="H32" s="2" t="str">
        <x:v>No continuity adjustment</x:v>
      </x:c>
    </x:row>
    <x:row r="33" ht="27" customHeight="1">
      <x:c r="A33" s="9" t="n">
        <x:v>46297</x:v>
      </x:c>
      <x:c r="B33" s="10" t="str">
        <x:v>Rockwell Automation</x:v>
      </x:c>
      <x:c r="C33" s="10" t="str">
        <x:v>ROK</x:v>
      </x:c>
      <x:c r="D33" s="9" t="n">
        <x:v>46297</x:v>
      </x:c>
      <x:c r="E33" s="18" t="n">
        <x:f>'Source Audit'!E33</x:f>
        <x:v>0</x:v>
      </x:c>
      <x:c r="F33" s="41" t="n">
        <x:f>'Source Audit'!F33</x:f>
        <x:v>1</x:v>
      </x:c>
      <x:c r="G33" s="12" t="str">
        <x:f>IF(AND(E33=0,F33=1,'Source Audit'!I33&lt;&gt;"Mismatch"),"No provider flag","Review required")</x:f>
        <x:v>No provider flag</x:v>
      </x:c>
      <x:c r="H33" s="10" t="str">
        <x:v>No continuity adjustment</x:v>
      </x:c>
    </x:row>
    <x:row r="34" ht="27" customHeight="1">
      <x:c r="A34" s="8" t="n">
        <x:v>46297</x:v>
      </x:c>
      <x:c r="B34" s="2" t="str">
        <x:v>Siemens</x:v>
      </x:c>
      <x:c r="C34" s="2" t="str">
        <x:v>SIE</x:v>
      </x:c>
      <x:c r="D34" s="8" t="n">
        <x:v>46297</x:v>
      </x:c>
      <x:c r="E34" s="19" t="n">
        <x:f>'Source Audit'!E34</x:f>
        <x:v>0</x:v>
      </x:c>
      <x:c r="F34" s="40" t="n">
        <x:f>'Source Audit'!F34</x:f>
        <x:v>1</x:v>
      </x:c>
      <x:c r="G34" s="11" t="str">
        <x:f>IF(AND(E34=0,F34=1,'Source Audit'!I34&lt;&gt;"Mismatch"),"No provider flag","Review required")</x:f>
        <x:v>No provider flag</x:v>
      </x:c>
      <x:c r="H34" s="2" t="str">
        <x:v>No continuity adjustment</x:v>
      </x:c>
    </x:row>
    <x:row r="35" ht="27" customHeight="1">
      <x:c r="A35" s="9" t="n">
        <x:v>46297</x:v>
      </x:c>
      <x:c r="B35" s="10" t="str">
        <x:v>NXP Semiconductors</x:v>
      </x:c>
      <x:c r="C35" s="10" t="str">
        <x:v>NXPI</x:v>
      </x:c>
      <x:c r="D35" s="9" t="n">
        <x:v>46297</x:v>
      </x:c>
      <x:c r="E35" s="18" t="n">
        <x:f>'Source Audit'!E35</x:f>
        <x:v>0</x:v>
      </x:c>
      <x:c r="F35" s="41" t="n">
        <x:f>'Source Audit'!F35</x:f>
        <x:v>1</x:v>
      </x:c>
      <x:c r="G35" s="12" t="str">
        <x:f>IF(AND(E35=0,F35=1,'Source Audit'!I35&lt;&gt;"Mismatch"),"No provider flag","Review required")</x:f>
        <x:v>No provider flag</x:v>
      </x:c>
      <x:c r="H35" s="10" t="str">
        <x:v>No continuity adjustment</x:v>
      </x:c>
    </x:row>
    <x:row r="36" ht="27" customHeight="1">
      <x:c r="A36" s="8" t="n">
        <x:v>46297</x:v>
      </x:c>
      <x:c r="B36" s="2" t="str">
        <x:v>Daifuku</x:v>
      </x:c>
      <x:c r="C36" s="2" t="str">
        <x:v>6383</x:v>
      </x:c>
      <x:c r="D36" s="8" t="n">
        <x:v>46297</x:v>
      </x:c>
      <x:c r="E36" s="19" t="n">
        <x:f>'Source Audit'!E36</x:f>
        <x:v>0</x:v>
      </x:c>
      <x:c r="F36" s="40" t="n">
        <x:f>'Source Audit'!F36</x:f>
        <x:v>1</x:v>
      </x:c>
      <x:c r="G36" s="11" t="str">
        <x:f>IF(AND(E36=0,F36=1,'Source Audit'!I36&lt;&gt;"Mismatch"),"No provider flag","Review required")</x:f>
        <x:v>No provider flag</x:v>
      </x:c>
      <x:c r="H36" s="2" t="str">
        <x:v>No continuity adjustment</x:v>
      </x:c>
    </x:row>
    <x:row r="37" ht="27" customHeight="1">
      <x:c r="A37" s="9" t="n">
        <x:v>46297</x:v>
      </x:c>
      <x:c r="B37" s="10" t="str">
        <x:v>Hexagon</x:v>
      </x:c>
      <x:c r="C37" s="10" t="str">
        <x:v>HEXA B</x:v>
      </x:c>
      <x:c r="D37" s="9" t="n">
        <x:v>46297</x:v>
      </x:c>
      <x:c r="E37" s="18" t="n">
        <x:f>'Source Audit'!E37</x:f>
        <x:v>0</x:v>
      </x:c>
      <x:c r="F37" s="41" t="n">
        <x:f>'Source Audit'!F37</x:f>
        <x:v>1</x:v>
      </x:c>
      <x:c r="G37" s="12" t="str">
        <x:f>IF(AND(E37=0,F37=1,'Source Audit'!I37&lt;&gt;"Mismatch"),"No provider flag","Review required")</x:f>
        <x:v>No provider flag</x:v>
      </x:c>
      <x:c r="H37" s="10" t="str">
        <x:v>No continuity adjustment</x:v>
      </x:c>
    </x:row>
    <x:row r="38" ht="27" customHeight="1">
      <x:c r="A38" s="8" t="n">
        <x:v>46297</x:v>
      </x:c>
      <x:c r="B38" s="2" t="str">
        <x:v>S&amp;P 500</x:v>
      </x:c>
      <x:c r="C38" s="2" t="str">
        <x:v>S&amp;P 500</x:v>
      </x:c>
      <x:c r="D38" s="8" t="n">
        <x:v>46297</x:v>
      </x:c>
      <x:c r="E38" s="19" t="n">
        <x:f>'Source Audit'!E38</x:f>
        <x:v>0</x:v>
      </x:c>
      <x:c r="F38" s="40" t="n">
        <x:f>'Source Audit'!F38</x:f>
        <x:v>1</x:v>
      </x:c>
      <x:c r="G38" s="11" t="str">
        <x:f>IF(AND(E38=0,F38=1,'Source Audit'!I38&lt;&gt;"Mismatch"),"No provider flag","Review required")</x:f>
        <x:v>No provider flag</x:v>
      </x:c>
      <x:c r="H38" s="2" t="str">
        <x:v>No continuity adjustment</x:v>
      </x:c>
    </x:row>
    <x:row r="39" ht="27" customHeight="1">
      <x:c r="A39" s="9" t="n">
        <x:v>46297</x:v>
      </x:c>
      <x:c r="B39" s="10" t="str">
        <x:v>Nasdaq Composite</x:v>
      </x:c>
      <x:c r="C39" s="10" t="str">
        <x:v>Nasdaq Composite</x:v>
      </x:c>
      <x:c r="D39" s="9" t="n">
        <x:v>46297</x:v>
      </x:c>
      <x:c r="E39" s="18" t="n">
        <x:f>'Source Audit'!E39</x:f>
        <x:v>0</x:v>
      </x:c>
      <x:c r="F39" s="41" t="n">
        <x:f>'Source Audit'!F39</x:f>
        <x:v>1</x:v>
      </x:c>
      <x:c r="G39" s="12" t="str">
        <x:f>IF(AND(E39=0,F39=1,'Source Audit'!I39&lt;&gt;"Mismatch"),"No provider flag","Review required")</x:f>
        <x:v>No provider flag</x:v>
      </x:c>
      <x:c r="H39" s="10" t="str">
        <x:v>No continuity adjustment</x:v>
      </x:c>
    </x:row>
    <x:row r="40" ht="27" customHeight="1">
      <x:c r="A40" s="8" t="n">
        <x:v>46300</x:v>
      </x:c>
      <x:c r="B40" s="2" t="str">
        <x:v>FANUC</x:v>
      </x:c>
      <x:c r="C40" s="2" t="str">
        <x:v>6954</x:v>
      </x:c>
      <x:c r="D40" s="8" t="n">
        <x:v>46300</x:v>
      </x:c>
      <x:c r="E40" s="19" t="n">
        <x:f>'Source Audit'!E40</x:f>
        <x:v>0</x:v>
      </x:c>
      <x:c r="F40" s="40" t="n">
        <x:f>'Source Audit'!F40</x:f>
        <x:v>1</x:v>
      </x:c>
      <x:c r="G40" s="11" t="str">
        <x:f>IF(AND(E40=0,F40=1,'Source Audit'!I40&lt;&gt;"Mismatch"),"No provider flag","Review required")</x:f>
        <x:v>No provider flag</x:v>
      </x:c>
      <x:c r="H40" s="2" t="str">
        <x:v>No continuity adjustment</x:v>
      </x:c>
    </x:row>
    <x:row r="41" ht="27" customHeight="1">
      <x:c r="A41" s="9" t="n">
        <x:v>46300</x:v>
      </x:c>
      <x:c r="B41" s="10" t="str">
        <x:v>Yaskawa Electric</x:v>
      </x:c>
      <x:c r="C41" s="10" t="str">
        <x:v>6506</x:v>
      </x:c>
      <x:c r="D41" s="9" t="n">
        <x:v>46300</x:v>
      </x:c>
      <x:c r="E41" s="18" t="n">
        <x:f>'Source Audit'!E41</x:f>
        <x:v>0</x:v>
      </x:c>
      <x:c r="F41" s="41" t="n">
        <x:f>'Source Audit'!F41</x:f>
        <x:v>1</x:v>
      </x:c>
      <x:c r="G41" s="12" t="str">
        <x:f>IF(AND(E41=0,F41=1,'Source Audit'!I41&lt;&gt;"Mismatch"),"No provider flag","Review required")</x:f>
        <x:v>No provider flag</x:v>
      </x:c>
      <x:c r="H41" s="10" t="str">
        <x:v>No continuity adjustment</x:v>
      </x:c>
    </x:row>
    <x:row r="42" ht="27" customHeight="1">
      <x:c r="A42" s="8" t="n">
        <x:v>46300</x:v>
      </x:c>
      <x:c r="B42" s="2" t="str">
        <x:v>Estun Automation</x:v>
      </x:c>
      <x:c r="C42" s="13" t="str">
        <x:v>002747</x:v>
      </x:c>
      <x:c r="D42" s="8" t="n">
        <x:v>46295</x:v>
      </x:c>
      <x:c r="E42" s="19" t="n">
        <x:f>'Source Audit'!E42</x:f>
        <x:v>0</x:v>
      </x:c>
      <x:c r="F42" s="40" t="n">
        <x:f>'Source Audit'!F42</x:f>
        <x:v>1</x:v>
      </x:c>
      <x:c r="G42" s="11" t="str">
        <x:f>IF(AND(E42=0,F42=1,'Source Audit'!I42&lt;&gt;"Mismatch"),"No provider flag","Review required")</x:f>
        <x:v>No provider flag</x:v>
      </x:c>
      <x:c r="H42" s="2" t="str">
        <x:v>No continuity adjustment</x:v>
      </x:c>
    </x:row>
    <x:row r="43" ht="27" customHeight="1">
      <x:c r="A43" s="9" t="n">
        <x:v>46300</x:v>
      </x:c>
      <x:c r="B43" s="10" t="str">
        <x:v>Teradyne</x:v>
      </x:c>
      <x:c r="C43" s="10" t="str">
        <x:v>TER</x:v>
      </x:c>
      <x:c r="D43" s="9" t="n">
        <x:v>46300</x:v>
      </x:c>
      <x:c r="E43" s="18" t="n">
        <x:f>'Source Audit'!E43</x:f>
        <x:v>0</x:v>
      </x:c>
      <x:c r="F43" s="41" t="n">
        <x:f>'Source Audit'!F43</x:f>
        <x:v>1</x:v>
      </x:c>
      <x:c r="G43" s="12" t="str">
        <x:f>IF(AND(E43=0,F43=1,'Source Audit'!I43&lt;&gt;"Mismatch"),"No provider flag","Review required")</x:f>
        <x:v>No provider flag</x:v>
      </x:c>
      <x:c r="H43" s="10" t="str">
        <x:v>No continuity adjustment</x:v>
      </x:c>
    </x:row>
    <x:row r="44" ht="27" customHeight="1">
      <x:c r="A44" s="8" t="n">
        <x:v>46300</x:v>
      </x:c>
      <x:c r="B44" s="2" t="str">
        <x:v>Nabtesco</x:v>
      </x:c>
      <x:c r="C44" s="2" t="str">
        <x:v>6268</x:v>
      </x:c>
      <x:c r="D44" s="8" t="n">
        <x:v>46300</x:v>
      </x:c>
      <x:c r="E44" s="19" t="n">
        <x:f>'Source Audit'!E44</x:f>
        <x:v>0</x:v>
      </x:c>
      <x:c r="F44" s="40" t="n">
        <x:f>'Source Audit'!F44</x:f>
        <x:v>1</x:v>
      </x:c>
      <x:c r="G44" s="11" t="str">
        <x:f>IF(AND(E44=0,F44=1,'Source Audit'!I44&lt;&gt;"Mismatch"),"No provider flag","Review required")</x:f>
        <x:v>No provider flag</x:v>
      </x:c>
      <x:c r="H44" s="2" t="str">
        <x:v>No continuity adjustment</x:v>
      </x:c>
    </x:row>
    <x:row r="45" ht="27" customHeight="1">
      <x:c r="A45" s="9" t="n">
        <x:v>46300</x:v>
      </x:c>
      <x:c r="B45" s="10" t="str">
        <x:v>Inovance</x:v>
      </x:c>
      <x:c r="C45" s="10" t="str">
        <x:v>300124</x:v>
      </x:c>
      <x:c r="D45" s="9" t="n">
        <x:v>46295</x:v>
      </x:c>
      <x:c r="E45" s="18" t="n">
        <x:f>'Source Audit'!E45</x:f>
        <x:v>0</x:v>
      </x:c>
      <x:c r="F45" s="41" t="n">
        <x:f>'Source Audit'!F45</x:f>
        <x:v>1</x:v>
      </x:c>
      <x:c r="G45" s="12" t="str">
        <x:f>IF(AND(E45=0,F45=1,'Source Audit'!I45&lt;&gt;"Mismatch"),"No provider flag","Review required")</x:f>
        <x:v>No provider flag</x:v>
      </x:c>
      <x:c r="H45" s="10" t="str">
        <x:v>No continuity adjustment</x:v>
      </x:c>
    </x:row>
    <x:row r="46" ht="27" customHeight="1">
      <x:c r="A46" s="8" t="n">
        <x:v>46300</x:v>
      </x:c>
      <x:c r="B46" s="2" t="str">
        <x:v>Keyence</x:v>
      </x:c>
      <x:c r="C46" s="2" t="str">
        <x:v>6861</x:v>
      </x:c>
      <x:c r="D46" s="8" t="n">
        <x:v>46300</x:v>
      </x:c>
      <x:c r="E46" s="19" t="n">
        <x:f>'Source Audit'!E46</x:f>
        <x:v>0</x:v>
      </x:c>
      <x:c r="F46" s="40" t="n">
        <x:f>'Source Audit'!F46</x:f>
        <x:v>1</x:v>
      </x:c>
      <x:c r="G46" s="11" t="str">
        <x:f>IF(AND(E46=0,F46=1,'Source Audit'!I46&lt;&gt;"Mismatch"),"No provider flag","Review required")</x:f>
        <x:v>No provider flag</x:v>
      </x:c>
      <x:c r="H46" s="2" t="str">
        <x:v>No continuity adjustment</x:v>
      </x:c>
    </x:row>
    <x:row r="47" ht="27" customHeight="1">
      <x:c r="A47" s="9" t="n">
        <x:v>46300</x:v>
      </x:c>
      <x:c r="B47" s="10" t="str">
        <x:v>Cognex</x:v>
      </x:c>
      <x:c r="C47" s="10" t="str">
        <x:v>CGNX</x:v>
      </x:c>
      <x:c r="D47" s="9" t="n">
        <x:v>46300</x:v>
      </x:c>
      <x:c r="E47" s="18" t="n">
        <x:f>'Source Audit'!E47</x:f>
        <x:v>0</x:v>
      </x:c>
      <x:c r="F47" s="41" t="n">
        <x:f>'Source Audit'!F47</x:f>
        <x:v>1</x:v>
      </x:c>
      <x:c r="G47" s="12" t="str">
        <x:f>IF(AND(E47=0,F47=1,'Source Audit'!I47&lt;&gt;"Mismatch"),"No provider flag","Review required")</x:f>
        <x:v>No provider flag</x:v>
      </x:c>
      <x:c r="H47" s="10" t="str">
        <x:v>No continuity adjustment</x:v>
      </x:c>
    </x:row>
    <x:row r="48" ht="44" customHeight="1">
      <x:c r="A48" s="8" t="n">
        <x:v>46300</x:v>
      </x:c>
      <x:c r="B48" s="2" t="str">
        <x:v>Ouster</x:v>
      </x:c>
      <x:c r="C48" s="2" t="str">
        <x:v>OUST</x:v>
      </x:c>
      <x:c r="D48" s="8" t="n">
        <x:v>46300</x:v>
      </x:c>
      <x:c r="E48" s="19" t="n">
        <x:f>'Source Audit'!E48</x:f>
        <x:v>0</x:v>
      </x:c>
      <x:c r="F48" s="40" t="n">
        <x:f>'Source Audit'!F48</x:f>
        <x:v>1</x:v>
      </x:c>
      <x:c r="G48" s="11" t="str">
        <x:f>IF(AND(E48=0,F48=1,'Source Audit'!I48&lt;&gt;"Mismatch"),"No provider flag","Review required")</x:f>
        <x:v>No provider flag</x:v>
      </x:c>
      <x:c r="H48" s="14" t="str">
        <x:v>Approved provider MIC exception; no price adjustment</x:v>
      </x:c>
    </x:row>
    <x:row r="49" ht="27" customHeight="1">
      <x:c r="A49" s="9" t="n">
        <x:v>46300</x:v>
      </x:c>
      <x:c r="B49" s="10" t="str">
        <x:v>Hesai</x:v>
      </x:c>
      <x:c r="C49" s="10" t="str">
        <x:v>HSAI</x:v>
      </x:c>
      <x:c r="D49" s="9" t="n">
        <x:v>46300</x:v>
      </x:c>
      <x:c r="E49" s="18" t="n">
        <x:f>'Source Audit'!E49</x:f>
        <x:v>0</x:v>
      </x:c>
      <x:c r="F49" s="41" t="n">
        <x:f>'Source Audit'!F49</x:f>
        <x:v>1</x:v>
      </x:c>
      <x:c r="G49" s="12" t="str">
        <x:f>IF(AND(E49=0,F49=1,'Source Audit'!I49&lt;&gt;"Mismatch"),"No provider flag","Review required")</x:f>
        <x:v>No provider flag</x:v>
      </x:c>
      <x:c r="H49" s="10" t="str">
        <x:v>No continuity adjustment</x:v>
      </x:c>
    </x:row>
    <x:row r="50" ht="27" customHeight="1">
      <x:c r="A50" s="8" t="n">
        <x:v>46300</x:v>
      </x:c>
      <x:c r="B50" s="2" t="str">
        <x:v>Rockwell Automation</x:v>
      </x:c>
      <x:c r="C50" s="2" t="str">
        <x:v>ROK</x:v>
      </x:c>
      <x:c r="D50" s="8" t="n">
        <x:v>46300</x:v>
      </x:c>
      <x:c r="E50" s="19" t="n">
        <x:f>'Source Audit'!E50</x:f>
        <x:v>0</x:v>
      </x:c>
      <x:c r="F50" s="40" t="n">
        <x:f>'Source Audit'!F50</x:f>
        <x:v>1</x:v>
      </x:c>
      <x:c r="G50" s="11" t="str">
        <x:f>IF(AND(E50=0,F50=1,'Source Audit'!I50&lt;&gt;"Mismatch"),"No provider flag","Review required")</x:f>
        <x:v>No provider flag</x:v>
      </x:c>
      <x:c r="H50" s="2" t="str">
        <x:v>No continuity adjustment</x:v>
      </x:c>
    </x:row>
    <x:row r="51" ht="27" customHeight="1">
      <x:c r="A51" s="9" t="n">
        <x:v>46300</x:v>
      </x:c>
      <x:c r="B51" s="10" t="str">
        <x:v>Siemens</x:v>
      </x:c>
      <x:c r="C51" s="10" t="str">
        <x:v>SIE</x:v>
      </x:c>
      <x:c r="D51" s="9" t="n">
        <x:v>46300</x:v>
      </x:c>
      <x:c r="E51" s="18" t="n">
        <x:f>'Source Audit'!E51</x:f>
        <x:v>0</x:v>
      </x:c>
      <x:c r="F51" s="41" t="n">
        <x:f>'Source Audit'!F51</x:f>
        <x:v>1</x:v>
      </x:c>
      <x:c r="G51" s="12" t="str">
        <x:f>IF(AND(E51=0,F51=1,'Source Audit'!I51&lt;&gt;"Mismatch"),"No provider flag","Review required")</x:f>
        <x:v>No provider flag</x:v>
      </x:c>
      <x:c r="H51" s="10" t="str">
        <x:v>No continuity adjustment</x:v>
      </x:c>
    </x:row>
    <x:row r="52" ht="27" customHeight="1">
      <x:c r="A52" s="8" t="n">
        <x:v>46300</x:v>
      </x:c>
      <x:c r="B52" s="2" t="str">
        <x:v>NXP Semiconductors</x:v>
      </x:c>
      <x:c r="C52" s="2" t="str">
        <x:v>NXPI</x:v>
      </x:c>
      <x:c r="D52" s="8" t="n">
        <x:v>46300</x:v>
      </x:c>
      <x:c r="E52" s="19" t="n">
        <x:f>'Source Audit'!E52</x:f>
        <x:v>0</x:v>
      </x:c>
      <x:c r="F52" s="40" t="n">
        <x:f>'Source Audit'!F52</x:f>
        <x:v>1</x:v>
      </x:c>
      <x:c r="G52" s="11" t="str">
        <x:f>IF(AND(E52=0,F52=1,'Source Audit'!I52&lt;&gt;"Mismatch"),"No provider flag","Review required")</x:f>
        <x:v>No provider flag</x:v>
      </x:c>
      <x:c r="H52" s="2" t="str">
        <x:v>No continuity adjustment</x:v>
      </x:c>
    </x:row>
    <x:row r="53" ht="27" customHeight="1">
      <x:c r="A53" s="9" t="n">
        <x:v>46300</x:v>
      </x:c>
      <x:c r="B53" s="10" t="str">
        <x:v>Daifuku</x:v>
      </x:c>
      <x:c r="C53" s="10" t="str">
        <x:v>6383</x:v>
      </x:c>
      <x:c r="D53" s="9" t="n">
        <x:v>46300</x:v>
      </x:c>
      <x:c r="E53" s="18" t="n">
        <x:f>'Source Audit'!E53</x:f>
        <x:v>0</x:v>
      </x:c>
      <x:c r="F53" s="41" t="n">
        <x:f>'Source Audit'!F53</x:f>
        <x:v>1</x:v>
      </x:c>
      <x:c r="G53" s="12" t="str">
        <x:f>IF(AND(E53=0,F53=1,'Source Audit'!I53&lt;&gt;"Mismatch"),"No provider flag","Review required")</x:f>
        <x:v>No provider flag</x:v>
      </x:c>
      <x:c r="H53" s="10" t="str">
        <x:v>No continuity adjustment</x:v>
      </x:c>
    </x:row>
    <x:row r="54" ht="27" customHeight="1">
      <x:c r="A54" s="8" t="n">
        <x:v>46300</x:v>
      </x:c>
      <x:c r="B54" s="2" t="str">
        <x:v>Hexagon</x:v>
      </x:c>
      <x:c r="C54" s="2" t="str">
        <x:v>HEXA B</x:v>
      </x:c>
      <x:c r="D54" s="8" t="n">
        <x:v>46300</x:v>
      </x:c>
      <x:c r="E54" s="19" t="n">
        <x:f>'Source Audit'!E54</x:f>
        <x:v>0</x:v>
      </x:c>
      <x:c r="F54" s="40" t="n">
        <x:f>'Source Audit'!F54</x:f>
        <x:v>1</x:v>
      </x:c>
      <x:c r="G54" s="11" t="str">
        <x:f>IF(AND(E54=0,F54=1,'Source Audit'!I54&lt;&gt;"Mismatch"),"No provider flag","Review required")</x:f>
        <x:v>No provider flag</x:v>
      </x:c>
      <x:c r="H54" s="2" t="str">
        <x:v>No continuity adjustment</x:v>
      </x:c>
    </x:row>
    <x:row r="55" ht="27" customHeight="1">
      <x:c r="A55" s="9" t="n">
        <x:v>46300</x:v>
      </x:c>
      <x:c r="B55" s="10" t="str">
        <x:v>S&amp;P 500</x:v>
      </x:c>
      <x:c r="C55" s="10" t="str">
        <x:v>S&amp;P 500</x:v>
      </x:c>
      <x:c r="D55" s="9" t="n">
        <x:v>46300</x:v>
      </x:c>
      <x:c r="E55" s="18" t="n">
        <x:f>'Source Audit'!E55</x:f>
        <x:v>0</x:v>
      </x:c>
      <x:c r="F55" s="41" t="n">
        <x:f>'Source Audit'!F55</x:f>
        <x:v>1</x:v>
      </x:c>
      <x:c r="G55" s="12" t="str">
        <x:f>IF(AND(E55=0,F55=1,'Source Audit'!I55&lt;&gt;"Mismatch"),"No provider flag","Review required")</x:f>
        <x:v>No provider flag</x:v>
      </x:c>
      <x:c r="H55" s="10" t="str">
        <x:v>No continuity adjustment</x:v>
      </x:c>
    </x:row>
    <x:row r="56" ht="27" customHeight="1">
      <x:c r="A56" s="8" t="n">
        <x:v>46300</x:v>
      </x:c>
      <x:c r="B56" s="2" t="str">
        <x:v>Nasdaq Composite</x:v>
      </x:c>
      <x:c r="C56" s="2" t="str">
        <x:v>Nasdaq Composite</x:v>
      </x:c>
      <x:c r="D56" s="8" t="n">
        <x:v>46300</x:v>
      </x:c>
      <x:c r="E56" s="19" t="n">
        <x:f>'Source Audit'!E56</x:f>
        <x:v>0</x:v>
      </x:c>
      <x:c r="F56" s="40" t="n">
        <x:f>'Source Audit'!F56</x:f>
        <x:v>1</x:v>
      </x:c>
      <x:c r="G56" s="11" t="str">
        <x:f>IF(AND(E56=0,F56=1,'Source Audit'!I56&lt;&gt;"Mismatch"),"No provider flag","Review required")</x:f>
        <x:v>No provider flag</x:v>
      </x:c>
      <x:c r="H56" s="2" t="str">
        <x:v>No continuity adjustment</x:v>
      </x:c>
    </x:row>
    <x:row r="57" ht="27" customHeight="1">
      <x:c r="A57" s="9" t="n">
        <x:v>46301</x:v>
      </x:c>
      <x:c r="B57" s="10" t="str">
        <x:v>FANUC</x:v>
      </x:c>
      <x:c r="C57" s="10" t="str">
        <x:v>6954</x:v>
      </x:c>
      <x:c r="D57" s="9" t="n">
        <x:v>46301</x:v>
      </x:c>
      <x:c r="E57" s="18" t="n">
        <x:f>'Source Audit'!E57</x:f>
        <x:v>0</x:v>
      </x:c>
      <x:c r="F57" s="41" t="n">
        <x:f>'Source Audit'!F57</x:f>
        <x:v>1</x:v>
      </x:c>
      <x:c r="G57" s="12" t="str">
        <x:f>IF(AND(E57=0,F57=1,'Source Audit'!I57&lt;&gt;"Mismatch"),"No provider flag","Review required")</x:f>
        <x:v>No provider flag</x:v>
      </x:c>
      <x:c r="H57" s="10" t="str">
        <x:v>No continuity adjustment</x:v>
      </x:c>
    </x:row>
    <x:row r="58" ht="27" customHeight="1">
      <x:c r="A58" s="8" t="n">
        <x:v>46301</x:v>
      </x:c>
      <x:c r="B58" s="2" t="str">
        <x:v>Yaskawa Electric</x:v>
      </x:c>
      <x:c r="C58" s="2" t="str">
        <x:v>6506</x:v>
      </x:c>
      <x:c r="D58" s="8" t="n">
        <x:v>46301</x:v>
      </x:c>
      <x:c r="E58" s="19" t="n">
        <x:f>'Source Audit'!E58</x:f>
        <x:v>0</x:v>
      </x:c>
      <x:c r="F58" s="40" t="n">
        <x:f>'Source Audit'!F58</x:f>
        <x:v>1</x:v>
      </x:c>
      <x:c r="G58" s="11" t="str">
        <x:f>IF(AND(E58=0,F58=1,'Source Audit'!I58&lt;&gt;"Mismatch"),"No provider flag","Review required")</x:f>
        <x:v>No provider flag</x:v>
      </x:c>
      <x:c r="H58" s="2" t="str">
        <x:v>No continuity adjustment</x:v>
      </x:c>
    </x:row>
    <x:row r="59" ht="27" customHeight="1">
      <x:c r="A59" s="9" t="n">
        <x:v>46301</x:v>
      </x:c>
      <x:c r="B59" s="10" t="str">
        <x:v>Estun Automation</x:v>
      </x:c>
      <x:c r="C59" s="15" t="str">
        <x:v>002747</x:v>
      </x:c>
      <x:c r="D59" s="9" t="n">
        <x:v>46295</x:v>
      </x:c>
      <x:c r="E59" s="18" t="n">
        <x:f>'Source Audit'!E59</x:f>
        <x:v>0</x:v>
      </x:c>
      <x:c r="F59" s="41" t="n">
        <x:f>'Source Audit'!F59</x:f>
        <x:v>1</x:v>
      </x:c>
      <x:c r="G59" s="12" t="str">
        <x:f>IF(AND(E59=0,F59=1,'Source Audit'!I59&lt;&gt;"Mismatch"),"No provider flag","Review required")</x:f>
        <x:v>No provider flag</x:v>
      </x:c>
      <x:c r="H59" s="10" t="str">
        <x:v>No continuity adjustment</x:v>
      </x:c>
    </x:row>
    <x:row r="60" ht="27" customHeight="1">
      <x:c r="A60" s="8" t="n">
        <x:v>46301</x:v>
      </x:c>
      <x:c r="B60" s="2" t="str">
        <x:v>Teradyne</x:v>
      </x:c>
      <x:c r="C60" s="2" t="str">
        <x:v>TER</x:v>
      </x:c>
      <x:c r="D60" s="8" t="n">
        <x:v>46301</x:v>
      </x:c>
      <x:c r="E60" s="19" t="n">
        <x:f>'Source Audit'!E60</x:f>
        <x:v>0</x:v>
      </x:c>
      <x:c r="F60" s="40" t="n">
        <x:f>'Source Audit'!F60</x:f>
        <x:v>1</x:v>
      </x:c>
      <x:c r="G60" s="11" t="str">
        <x:f>IF(AND(E60=0,F60=1,'Source Audit'!I60&lt;&gt;"Mismatch"),"No provider flag","Review required")</x:f>
        <x:v>No provider flag</x:v>
      </x:c>
      <x:c r="H60" s="2" t="str">
        <x:v>No continuity adjustment</x:v>
      </x:c>
    </x:row>
    <x:row r="61" ht="27" customHeight="1">
      <x:c r="A61" s="9" t="n">
        <x:v>46301</x:v>
      </x:c>
      <x:c r="B61" s="10" t="str">
        <x:v>Nabtesco</x:v>
      </x:c>
      <x:c r="C61" s="10" t="str">
        <x:v>6268</x:v>
      </x:c>
      <x:c r="D61" s="9" t="n">
        <x:v>46301</x:v>
      </x:c>
      <x:c r="E61" s="18" t="n">
        <x:f>'Source Audit'!E61</x:f>
        <x:v>0</x:v>
      </x:c>
      <x:c r="F61" s="41" t="n">
        <x:f>'Source Audit'!F61</x:f>
        <x:v>1</x:v>
      </x:c>
      <x:c r="G61" s="12" t="str">
        <x:f>IF(AND(E61=0,F61=1,'Source Audit'!I61&lt;&gt;"Mismatch"),"No provider flag","Review required")</x:f>
        <x:v>No provider flag</x:v>
      </x:c>
      <x:c r="H61" s="10" t="str">
        <x:v>No continuity adjustment</x:v>
      </x:c>
    </x:row>
    <x:row r="62" ht="27" customHeight="1">
      <x:c r="A62" s="8" t="n">
        <x:v>46301</x:v>
      </x:c>
      <x:c r="B62" s="2" t="str">
        <x:v>Inovance</x:v>
      </x:c>
      <x:c r="C62" s="2" t="str">
        <x:v>300124</x:v>
      </x:c>
      <x:c r="D62" s="8" t="n">
        <x:v>46295</x:v>
      </x:c>
      <x:c r="E62" s="19" t="n">
        <x:f>'Source Audit'!E62</x:f>
        <x:v>0</x:v>
      </x:c>
      <x:c r="F62" s="40" t="n">
        <x:f>'Source Audit'!F62</x:f>
        <x:v>1</x:v>
      </x:c>
      <x:c r="G62" s="11" t="str">
        <x:f>IF(AND(E62=0,F62=1,'Source Audit'!I62&lt;&gt;"Mismatch"),"No provider flag","Review required")</x:f>
        <x:v>No provider flag</x:v>
      </x:c>
      <x:c r="H62" s="2" t="str">
        <x:v>No continuity adjustment</x:v>
      </x:c>
    </x:row>
    <x:row r="63" ht="27" customHeight="1">
      <x:c r="A63" s="9" t="n">
        <x:v>46301</x:v>
      </x:c>
      <x:c r="B63" s="10" t="str">
        <x:v>Keyence</x:v>
      </x:c>
      <x:c r="C63" s="10" t="str">
        <x:v>6861</x:v>
      </x:c>
      <x:c r="D63" s="9" t="n">
        <x:v>46301</x:v>
      </x:c>
      <x:c r="E63" s="18" t="n">
        <x:f>'Source Audit'!E63</x:f>
        <x:v>0</x:v>
      </x:c>
      <x:c r="F63" s="41" t="n">
        <x:f>'Source Audit'!F63</x:f>
        <x:v>1</x:v>
      </x:c>
      <x:c r="G63" s="12" t="str">
        <x:f>IF(AND(E63=0,F63=1,'Source Audit'!I63&lt;&gt;"Mismatch"),"No provider flag","Review required")</x:f>
        <x:v>No provider flag</x:v>
      </x:c>
      <x:c r="H63" s="10" t="str">
        <x:v>No continuity adjustment</x:v>
      </x:c>
    </x:row>
    <x:row r="64" ht="27" customHeight="1">
      <x:c r="A64" s="8" t="n">
        <x:v>46301</x:v>
      </x:c>
      <x:c r="B64" s="2" t="str">
        <x:v>Cognex</x:v>
      </x:c>
      <x:c r="C64" s="2" t="str">
        <x:v>CGNX</x:v>
      </x:c>
      <x:c r="D64" s="8" t="n">
        <x:v>46301</x:v>
      </x:c>
      <x:c r="E64" s="19" t="n">
        <x:f>'Source Audit'!E64</x:f>
        <x:v>0</x:v>
      </x:c>
      <x:c r="F64" s="40" t="n">
        <x:f>'Source Audit'!F64</x:f>
        <x:v>1</x:v>
      </x:c>
      <x:c r="G64" s="11" t="str">
        <x:f>IF(AND(E64=0,F64=1,'Source Audit'!I64&lt;&gt;"Mismatch"),"No provider flag","Review required")</x:f>
        <x:v>No provider flag</x:v>
      </x:c>
      <x:c r="H64" s="2" t="str">
        <x:v>No continuity adjustment</x:v>
      </x:c>
    </x:row>
    <x:row r="65" ht="44" customHeight="1">
      <x:c r="A65" s="9" t="n">
        <x:v>46301</x:v>
      </x:c>
      <x:c r="B65" s="10" t="str">
        <x:v>Ouster</x:v>
      </x:c>
      <x:c r="C65" s="10" t="str">
        <x:v>OUST</x:v>
      </x:c>
      <x:c r="D65" s="9" t="n">
        <x:v>46301</x:v>
      </x:c>
      <x:c r="E65" s="18" t="n">
        <x:f>'Source Audit'!E65</x:f>
        <x:v>0</x:v>
      </x:c>
      <x:c r="F65" s="41" t="n">
        <x:f>'Source Audit'!F65</x:f>
        <x:v>1</x:v>
      </x:c>
      <x:c r="G65" s="12" t="str">
        <x:f>IF(AND(E65=0,F65=1,'Source Audit'!I65&lt;&gt;"Mismatch"),"No provider flag","Review required")</x:f>
        <x:v>No provider flag</x:v>
      </x:c>
      <x:c r="H65" s="16" t="str">
        <x:v>Approved provider MIC exception; no price adjustment</x:v>
      </x:c>
    </x:row>
    <x:row r="66" ht="27" customHeight="1">
      <x:c r="A66" s="8" t="n">
        <x:v>46301</x:v>
      </x:c>
      <x:c r="B66" s="2" t="str">
        <x:v>Hesai</x:v>
      </x:c>
      <x:c r="C66" s="2" t="str">
        <x:v>HSAI</x:v>
      </x:c>
      <x:c r="D66" s="8" t="n">
        <x:v>46301</x:v>
      </x:c>
      <x:c r="E66" s="19" t="n">
        <x:f>'Source Audit'!E66</x:f>
        <x:v>0</x:v>
      </x:c>
      <x:c r="F66" s="40" t="n">
        <x:f>'Source Audit'!F66</x:f>
        <x:v>1</x:v>
      </x:c>
      <x:c r="G66" s="11" t="str">
        <x:f>IF(AND(E66=0,F66=1,'Source Audit'!I66&lt;&gt;"Mismatch"),"No provider flag","Review required")</x:f>
        <x:v>No provider flag</x:v>
      </x:c>
      <x:c r="H66" s="2" t="str">
        <x:v>No continuity adjustment</x:v>
      </x:c>
    </x:row>
    <x:row r="67" ht="27" customHeight="1">
      <x:c r="A67" s="9" t="n">
        <x:v>46301</x:v>
      </x:c>
      <x:c r="B67" s="10" t="str">
        <x:v>Rockwell Automation</x:v>
      </x:c>
      <x:c r="C67" s="10" t="str">
        <x:v>ROK</x:v>
      </x:c>
      <x:c r="D67" s="9" t="n">
        <x:v>46301</x:v>
      </x:c>
      <x:c r="E67" s="18" t="n">
        <x:f>'Source Audit'!E67</x:f>
        <x:v>0</x:v>
      </x:c>
      <x:c r="F67" s="41" t="n">
        <x:f>'Source Audit'!F67</x:f>
        <x:v>1</x:v>
      </x:c>
      <x:c r="G67" s="12" t="str">
        <x:f>IF(AND(E67=0,F67=1,'Source Audit'!I67&lt;&gt;"Mismatch"),"No provider flag","Review required")</x:f>
        <x:v>No provider flag</x:v>
      </x:c>
      <x:c r="H67" s="10" t="str">
        <x:v>No continuity adjustment</x:v>
      </x:c>
    </x:row>
    <x:row r="68" ht="27" customHeight="1">
      <x:c r="A68" s="8" t="n">
        <x:v>46301</x:v>
      </x:c>
      <x:c r="B68" s="2" t="str">
        <x:v>Siemens</x:v>
      </x:c>
      <x:c r="C68" s="2" t="str">
        <x:v>SIE</x:v>
      </x:c>
      <x:c r="D68" s="8" t="n">
        <x:v>46301</x:v>
      </x:c>
      <x:c r="E68" s="19" t="n">
        <x:f>'Source Audit'!E68</x:f>
        <x:v>0</x:v>
      </x:c>
      <x:c r="F68" s="40" t="n">
        <x:f>'Source Audit'!F68</x:f>
        <x:v>1</x:v>
      </x:c>
      <x:c r="G68" s="11" t="str">
        <x:f>IF(AND(E68=0,F68=1,'Source Audit'!I68&lt;&gt;"Mismatch"),"No provider flag","Review required")</x:f>
        <x:v>No provider flag</x:v>
      </x:c>
      <x:c r="H68" s="2" t="str">
        <x:v>No continuity adjustment</x:v>
      </x:c>
    </x:row>
    <x:row r="69" ht="27" customHeight="1">
      <x:c r="A69" s="9" t="n">
        <x:v>46301</x:v>
      </x:c>
      <x:c r="B69" s="10" t="str">
        <x:v>NXP Semiconductors</x:v>
      </x:c>
      <x:c r="C69" s="10" t="str">
        <x:v>NXPI</x:v>
      </x:c>
      <x:c r="D69" s="9" t="n">
        <x:v>46301</x:v>
      </x:c>
      <x:c r="E69" s="18" t="n">
        <x:f>'Source Audit'!E69</x:f>
        <x:v>0</x:v>
      </x:c>
      <x:c r="F69" s="41" t="n">
        <x:f>'Source Audit'!F69</x:f>
        <x:v>1</x:v>
      </x:c>
      <x:c r="G69" s="12" t="str">
        <x:f>IF(AND(E69=0,F69=1,'Source Audit'!I69&lt;&gt;"Mismatch"),"No provider flag","Review required")</x:f>
        <x:v>No provider flag</x:v>
      </x:c>
      <x:c r="H69" s="10" t="str">
        <x:v>No continuity adjustment</x:v>
      </x:c>
    </x:row>
    <x:row r="70" ht="27" customHeight="1">
      <x:c r="A70" s="8" t="n">
        <x:v>46301</x:v>
      </x:c>
      <x:c r="B70" s="2" t="str">
        <x:v>Daifuku</x:v>
      </x:c>
      <x:c r="C70" s="2" t="str">
        <x:v>6383</x:v>
      </x:c>
      <x:c r="D70" s="8" t="n">
        <x:v>46301</x:v>
      </x:c>
      <x:c r="E70" s="19" t="n">
        <x:f>'Source Audit'!E70</x:f>
        <x:v>0</x:v>
      </x:c>
      <x:c r="F70" s="40" t="n">
        <x:f>'Source Audit'!F70</x:f>
        <x:v>1</x:v>
      </x:c>
      <x:c r="G70" s="11" t="str">
        <x:f>IF(AND(E70=0,F70=1,'Source Audit'!I70&lt;&gt;"Mismatch"),"No provider flag","Review required")</x:f>
        <x:v>No provider flag</x:v>
      </x:c>
      <x:c r="H70" s="2" t="str">
        <x:v>No continuity adjustment</x:v>
      </x:c>
    </x:row>
    <x:row r="71" ht="27" customHeight="1">
      <x:c r="A71" s="9" t="n">
        <x:v>46301</x:v>
      </x:c>
      <x:c r="B71" s="10" t="str">
        <x:v>Hexagon</x:v>
      </x:c>
      <x:c r="C71" s="10" t="str">
        <x:v>HEXA B</x:v>
      </x:c>
      <x:c r="D71" s="9" t="n">
        <x:v>46301</x:v>
      </x:c>
      <x:c r="E71" s="18" t="n">
        <x:f>'Source Audit'!E71</x:f>
        <x:v>0</x:v>
      </x:c>
      <x:c r="F71" s="41" t="n">
        <x:f>'Source Audit'!F71</x:f>
        <x:v>1</x:v>
      </x:c>
      <x:c r="G71" s="12" t="str">
        <x:f>IF(AND(E71=0,F71=1,'Source Audit'!I71&lt;&gt;"Mismatch"),"No provider flag","Review required")</x:f>
        <x:v>No provider flag</x:v>
      </x:c>
      <x:c r="H71" s="10" t="str">
        <x:v>No continuity adjustment</x:v>
      </x:c>
    </x:row>
    <x:row r="72" ht="27" customHeight="1">
      <x:c r="A72" s="8" t="n">
        <x:v>46301</x:v>
      </x:c>
      <x:c r="B72" s="2" t="str">
        <x:v>S&amp;P 500</x:v>
      </x:c>
      <x:c r="C72" s="2" t="str">
        <x:v>S&amp;P 500</x:v>
      </x:c>
      <x:c r="D72" s="8" t="n">
        <x:v>46301</x:v>
      </x:c>
      <x:c r="E72" s="19" t="n">
        <x:f>'Source Audit'!E72</x:f>
        <x:v>0</x:v>
      </x:c>
      <x:c r="F72" s="40" t="n">
        <x:f>'Source Audit'!F72</x:f>
        <x:v>1</x:v>
      </x:c>
      <x:c r="G72" s="11" t="str">
        <x:f>IF(AND(E72=0,F72=1,'Source Audit'!I72&lt;&gt;"Mismatch"),"No provider flag","Review required")</x:f>
        <x:v>No provider flag</x:v>
      </x:c>
      <x:c r="H72" s="2" t="str">
        <x:v>No continuity adjustment</x:v>
      </x:c>
    </x:row>
    <x:row r="73" ht="27" customHeight="1">
      <x:c r="A73" s="9" t="n">
        <x:v>46301</x:v>
      </x:c>
      <x:c r="B73" s="10" t="str">
        <x:v>Nasdaq Composite</x:v>
      </x:c>
      <x:c r="C73" s="10" t="str">
        <x:v>Nasdaq Composite</x:v>
      </x:c>
      <x:c r="D73" s="9" t="n">
        <x:v>46301</x:v>
      </x:c>
      <x:c r="E73" s="18" t="n">
        <x:f>'Source Audit'!E73</x:f>
        <x:v>0</x:v>
      </x:c>
      <x:c r="F73" s="41" t="n">
        <x:f>'Source Audit'!F73</x:f>
        <x:v>1</x:v>
      </x:c>
      <x:c r="G73" s="12" t="str">
        <x:f>IF(AND(E73=0,F73=1,'Source Audit'!I73&lt;&gt;"Mismatch"),"No provider flag","Review required")</x:f>
        <x:v>No provider flag</x:v>
      </x:c>
      <x:c r="H73" s="10" t="str">
        <x:v>No continuity adjustment</x:v>
      </x:c>
    </x:row>
    <x:row r="74" ht="27" customHeight="1">
      <x:c r="A74" s="8" t="n">
        <x:v>46302</x:v>
      </x:c>
      <x:c r="B74" s="2" t="str">
        <x:v>FANUC</x:v>
      </x:c>
      <x:c r="C74" s="2" t="str">
        <x:v>6954</x:v>
      </x:c>
      <x:c r="D74" s="8" t="n">
        <x:v>46302</x:v>
      </x:c>
      <x:c r="E74" s="19" t="n">
        <x:f>'Source Audit'!E74</x:f>
        <x:v>0</x:v>
      </x:c>
      <x:c r="F74" s="40" t="n">
        <x:f>'Source Audit'!F74</x:f>
        <x:v>1</x:v>
      </x:c>
      <x:c r="G74" s="11" t="str">
        <x:f>IF(AND(E74=0,F74=1,'Source Audit'!I74&lt;&gt;"Mismatch"),"No provider flag","Review required")</x:f>
        <x:v>No provider flag</x:v>
      </x:c>
      <x:c r="H74" s="2" t="str">
        <x:v>No continuity adjustment</x:v>
      </x:c>
    </x:row>
    <x:row r="75" ht="27" customHeight="1">
      <x:c r="A75" s="9" t="n">
        <x:v>46302</x:v>
      </x:c>
      <x:c r="B75" s="10" t="str">
        <x:v>Yaskawa Electric</x:v>
      </x:c>
      <x:c r="C75" s="10" t="str">
        <x:v>6506</x:v>
      </x:c>
      <x:c r="D75" s="9" t="n">
        <x:v>46302</x:v>
      </x:c>
      <x:c r="E75" s="18" t="n">
        <x:f>'Source Audit'!E75</x:f>
        <x:v>0</x:v>
      </x:c>
      <x:c r="F75" s="41" t="n">
        <x:f>'Source Audit'!F75</x:f>
        <x:v>1</x:v>
      </x:c>
      <x:c r="G75" s="12" t="str">
        <x:f>IF(AND(E75=0,F75=1,'Source Audit'!I75&lt;&gt;"Mismatch"),"No provider flag","Review required")</x:f>
        <x:v>No provider flag</x:v>
      </x:c>
      <x:c r="H75" s="10" t="str">
        <x:v>No continuity adjustment</x:v>
      </x:c>
    </x:row>
    <x:row r="76" ht="27" customHeight="1">
      <x:c r="A76" s="8" t="n">
        <x:v>46302</x:v>
      </x:c>
      <x:c r="B76" s="2" t="str">
        <x:v>Estun Automation</x:v>
      </x:c>
      <x:c r="C76" s="13" t="str">
        <x:v>002747</x:v>
      </x:c>
      <x:c r="D76" s="8" t="n">
        <x:v>46295</x:v>
      </x:c>
      <x:c r="E76" s="19" t="n">
        <x:f>'Source Audit'!E76</x:f>
        <x:v>0</x:v>
      </x:c>
      <x:c r="F76" s="40" t="n">
        <x:f>'Source Audit'!F76</x:f>
        <x:v>1</x:v>
      </x:c>
      <x:c r="G76" s="11" t="str">
        <x:f>IF(AND(E76=0,F76=1,'Source Audit'!I76&lt;&gt;"Mismatch"),"No provider flag","Review required")</x:f>
        <x:v>No provider flag</x:v>
      </x:c>
      <x:c r="H76" s="2" t="str">
        <x:v>No continuity adjustment</x:v>
      </x:c>
    </x:row>
    <x:row r="77" ht="27" customHeight="1">
      <x:c r="A77" s="9" t="n">
        <x:v>46302</x:v>
      </x:c>
      <x:c r="B77" s="10" t="str">
        <x:v>Teradyne</x:v>
      </x:c>
      <x:c r="C77" s="10" t="str">
        <x:v>TER</x:v>
      </x:c>
      <x:c r="D77" s="9" t="n">
        <x:v>46302</x:v>
      </x:c>
      <x:c r="E77" s="18" t="n">
        <x:f>'Source Audit'!E77</x:f>
        <x:v>0</x:v>
      </x:c>
      <x:c r="F77" s="41" t="n">
        <x:f>'Source Audit'!F77</x:f>
        <x:v>1</x:v>
      </x:c>
      <x:c r="G77" s="12" t="str">
        <x:f>IF(AND(E77=0,F77=1,'Source Audit'!I77&lt;&gt;"Mismatch"),"No provider flag","Review required")</x:f>
        <x:v>No provider flag</x:v>
      </x:c>
      <x:c r="H77" s="10" t="str">
        <x:v>No continuity adjustment</x:v>
      </x:c>
    </x:row>
    <x:row r="78" ht="27" customHeight="1">
      <x:c r="A78" s="8" t="n">
        <x:v>46302</x:v>
      </x:c>
      <x:c r="B78" s="2" t="str">
        <x:v>Nabtesco</x:v>
      </x:c>
      <x:c r="C78" s="2" t="str">
        <x:v>6268</x:v>
      </x:c>
      <x:c r="D78" s="8" t="n">
        <x:v>46302</x:v>
      </x:c>
      <x:c r="E78" s="19" t="n">
        <x:f>'Source Audit'!E78</x:f>
        <x:v>0</x:v>
      </x:c>
      <x:c r="F78" s="40" t="n">
        <x:f>'Source Audit'!F78</x:f>
        <x:v>1</x:v>
      </x:c>
      <x:c r="G78" s="11" t="str">
        <x:f>IF(AND(E78=0,F78=1,'Source Audit'!I78&lt;&gt;"Mismatch"),"No provider flag","Review required")</x:f>
        <x:v>No provider flag</x:v>
      </x:c>
      <x:c r="H78" s="2" t="str">
        <x:v>No continuity adjustment</x:v>
      </x:c>
    </x:row>
    <x:row r="79" ht="27" customHeight="1">
      <x:c r="A79" s="9" t="n">
        <x:v>46302</x:v>
      </x:c>
      <x:c r="B79" s="10" t="str">
        <x:v>Inovance</x:v>
      </x:c>
      <x:c r="C79" s="10" t="str">
        <x:v>300124</x:v>
      </x:c>
      <x:c r="D79" s="9" t="n">
        <x:v>46295</x:v>
      </x:c>
      <x:c r="E79" s="18" t="n">
        <x:f>'Source Audit'!E79</x:f>
        <x:v>0</x:v>
      </x:c>
      <x:c r="F79" s="41" t="n">
        <x:f>'Source Audit'!F79</x:f>
        <x:v>1</x:v>
      </x:c>
      <x:c r="G79" s="12" t="str">
        <x:f>IF(AND(E79=0,F79=1,'Source Audit'!I79&lt;&gt;"Mismatch"),"No provider flag","Review required")</x:f>
        <x:v>No provider flag</x:v>
      </x:c>
      <x:c r="H79" s="10" t="str">
        <x:v>No continuity adjustment</x:v>
      </x:c>
    </x:row>
    <x:row r="80" ht="27" customHeight="1">
      <x:c r="A80" s="8" t="n">
        <x:v>46302</x:v>
      </x:c>
      <x:c r="B80" s="2" t="str">
        <x:v>Keyence</x:v>
      </x:c>
      <x:c r="C80" s="2" t="str">
        <x:v>6861</x:v>
      </x:c>
      <x:c r="D80" s="8" t="n">
        <x:v>46302</x:v>
      </x:c>
      <x:c r="E80" s="19" t="n">
        <x:f>'Source Audit'!E80</x:f>
        <x:v>0</x:v>
      </x:c>
      <x:c r="F80" s="40" t="n">
        <x:f>'Source Audit'!F80</x:f>
        <x:v>1</x:v>
      </x:c>
      <x:c r="G80" s="11" t="str">
        <x:f>IF(AND(E80=0,F80=1,'Source Audit'!I80&lt;&gt;"Mismatch"),"No provider flag","Review required")</x:f>
        <x:v>No provider flag</x:v>
      </x:c>
      <x:c r="H80" s="2" t="str">
        <x:v>No continuity adjustment</x:v>
      </x:c>
    </x:row>
    <x:row r="81" ht="27" customHeight="1">
      <x:c r="A81" s="9" t="n">
        <x:v>46302</x:v>
      </x:c>
      <x:c r="B81" s="10" t="str">
        <x:v>Cognex</x:v>
      </x:c>
      <x:c r="C81" s="10" t="str">
        <x:v>CGNX</x:v>
      </x:c>
      <x:c r="D81" s="9" t="n">
        <x:v>46302</x:v>
      </x:c>
      <x:c r="E81" s="18" t="n">
        <x:f>'Source Audit'!E81</x:f>
        <x:v>0</x:v>
      </x:c>
      <x:c r="F81" s="41" t="n">
        <x:f>'Source Audit'!F81</x:f>
        <x:v>1</x:v>
      </x:c>
      <x:c r="G81" s="12" t="str">
        <x:f>IF(AND(E81=0,F81=1,'Source Audit'!I81&lt;&gt;"Mismatch"),"No provider flag","Review required")</x:f>
        <x:v>No provider flag</x:v>
      </x:c>
      <x:c r="H81" s="10" t="str">
        <x:v>No continuity adjustment</x:v>
      </x:c>
    </x:row>
    <x:row r="82" ht="44" customHeight="1">
      <x:c r="A82" s="8" t="n">
        <x:v>46302</x:v>
      </x:c>
      <x:c r="B82" s="2" t="str">
        <x:v>Ouster</x:v>
      </x:c>
      <x:c r="C82" s="2" t="str">
        <x:v>OUST</x:v>
      </x:c>
      <x:c r="D82" s="8" t="n">
        <x:v>46302</x:v>
      </x:c>
      <x:c r="E82" s="19" t="n">
        <x:f>'Source Audit'!E82</x:f>
        <x:v>0</x:v>
      </x:c>
      <x:c r="F82" s="40" t="n">
        <x:f>'Source Audit'!F82</x:f>
        <x:v>1</x:v>
      </x:c>
      <x:c r="G82" s="11" t="str">
        <x:f>IF(AND(E82=0,F82=1,'Source Audit'!I82&lt;&gt;"Mismatch"),"No provider flag","Review required")</x:f>
        <x:v>No provider flag</x:v>
      </x:c>
      <x:c r="H82" s="14" t="str">
        <x:v>Approved provider MIC exception; no price adjustment</x:v>
      </x:c>
    </x:row>
    <x:row r="83" ht="27" customHeight="1">
      <x:c r="A83" s="9" t="n">
        <x:v>46302</x:v>
      </x:c>
      <x:c r="B83" s="10" t="str">
        <x:v>Hesai</x:v>
      </x:c>
      <x:c r="C83" s="10" t="str">
        <x:v>HSAI</x:v>
      </x:c>
      <x:c r="D83" s="9" t="n">
        <x:v>46302</x:v>
      </x:c>
      <x:c r="E83" s="18" t="n">
        <x:f>'Source Audit'!E83</x:f>
        <x:v>0</x:v>
      </x:c>
      <x:c r="F83" s="41" t="n">
        <x:f>'Source Audit'!F83</x:f>
        <x:v>1</x:v>
      </x:c>
      <x:c r="G83" s="12" t="str">
        <x:f>IF(AND(E83=0,F83=1,'Source Audit'!I83&lt;&gt;"Mismatch"),"No provider flag","Review required")</x:f>
        <x:v>No provider flag</x:v>
      </x:c>
      <x:c r="H83" s="10" t="str">
        <x:v>No continuity adjustment</x:v>
      </x:c>
    </x:row>
    <x:row r="84" ht="27" customHeight="1">
      <x:c r="A84" s="8" t="n">
        <x:v>46302</x:v>
      </x:c>
      <x:c r="B84" s="2" t="str">
        <x:v>Rockwell Automation</x:v>
      </x:c>
      <x:c r="C84" s="2" t="str">
        <x:v>ROK</x:v>
      </x:c>
      <x:c r="D84" s="8" t="n">
        <x:v>46302</x:v>
      </x:c>
      <x:c r="E84" s="19" t="n">
        <x:f>'Source Audit'!E84</x:f>
        <x:v>0</x:v>
      </x:c>
      <x:c r="F84" s="40" t="n">
        <x:f>'Source Audit'!F84</x:f>
        <x:v>1</x:v>
      </x:c>
      <x:c r="G84" s="11" t="str">
        <x:f>IF(AND(E84=0,F84=1,'Source Audit'!I84&lt;&gt;"Mismatch"),"No provider flag","Review required")</x:f>
        <x:v>No provider flag</x:v>
      </x:c>
      <x:c r="H84" s="2" t="str">
        <x:v>No continuity adjustment</x:v>
      </x:c>
    </x:row>
    <x:row r="85" ht="27" customHeight="1">
      <x:c r="A85" s="9" t="n">
        <x:v>46302</x:v>
      </x:c>
      <x:c r="B85" s="10" t="str">
        <x:v>Siemens</x:v>
      </x:c>
      <x:c r="C85" s="10" t="str">
        <x:v>SIE</x:v>
      </x:c>
      <x:c r="D85" s="9" t="n">
        <x:v>46302</x:v>
      </x:c>
      <x:c r="E85" s="18" t="n">
        <x:f>'Source Audit'!E85</x:f>
        <x:v>0</x:v>
      </x:c>
      <x:c r="F85" s="41" t="n">
        <x:f>'Source Audit'!F85</x:f>
        <x:v>1</x:v>
      </x:c>
      <x:c r="G85" s="12" t="str">
        <x:f>IF(AND(E85=0,F85=1,'Source Audit'!I85&lt;&gt;"Mismatch"),"No provider flag","Review required")</x:f>
        <x:v>No provider flag</x:v>
      </x:c>
      <x:c r="H85" s="10" t="str">
        <x:v>No continuity adjustment</x:v>
      </x:c>
    </x:row>
    <x:row r="86" ht="27" customHeight="1">
      <x:c r="A86" s="8" t="n">
        <x:v>46302</x:v>
      </x:c>
      <x:c r="B86" s="2" t="str">
        <x:v>NXP Semiconductors</x:v>
      </x:c>
      <x:c r="C86" s="2" t="str">
        <x:v>NXPI</x:v>
      </x:c>
      <x:c r="D86" s="8" t="n">
        <x:v>46302</x:v>
      </x:c>
      <x:c r="E86" s="19" t="n">
        <x:f>'Source Audit'!E86</x:f>
        <x:v>0</x:v>
      </x:c>
      <x:c r="F86" s="40" t="n">
        <x:f>'Source Audit'!F86</x:f>
        <x:v>1</x:v>
      </x:c>
      <x:c r="G86" s="11" t="str">
        <x:f>IF(AND(E86=0,F86=1,'Source Audit'!I86&lt;&gt;"Mismatch"),"No provider flag","Review required")</x:f>
        <x:v>No provider flag</x:v>
      </x:c>
      <x:c r="H86" s="2" t="str">
        <x:v>No continuity adjustment</x:v>
      </x:c>
    </x:row>
    <x:row r="87" ht="27" customHeight="1">
      <x:c r="A87" s="9" t="n">
        <x:v>46302</x:v>
      </x:c>
      <x:c r="B87" s="10" t="str">
        <x:v>Daifuku</x:v>
      </x:c>
      <x:c r="C87" s="10" t="str">
        <x:v>6383</x:v>
      </x:c>
      <x:c r="D87" s="9" t="n">
        <x:v>46302</x:v>
      </x:c>
      <x:c r="E87" s="18" t="n">
        <x:f>'Source Audit'!E87</x:f>
        <x:v>0</x:v>
      </x:c>
      <x:c r="F87" s="41" t="n">
        <x:f>'Source Audit'!F87</x:f>
        <x:v>1</x:v>
      </x:c>
      <x:c r="G87" s="12" t="str">
        <x:f>IF(AND(E87=0,F87=1,'Source Audit'!I87&lt;&gt;"Mismatch"),"No provider flag","Review required")</x:f>
        <x:v>No provider flag</x:v>
      </x:c>
      <x:c r="H87" s="10" t="str">
        <x:v>No continuity adjustment</x:v>
      </x:c>
    </x:row>
    <x:row r="88" ht="27" customHeight="1">
      <x:c r="A88" s="8" t="n">
        <x:v>46302</x:v>
      </x:c>
      <x:c r="B88" s="2" t="str">
        <x:v>Hexagon</x:v>
      </x:c>
      <x:c r="C88" s="2" t="str">
        <x:v>HEXA B</x:v>
      </x:c>
      <x:c r="D88" s="8" t="n">
        <x:v>46302</x:v>
      </x:c>
      <x:c r="E88" s="19" t="n">
        <x:f>'Source Audit'!E88</x:f>
        <x:v>0</x:v>
      </x:c>
      <x:c r="F88" s="40" t="n">
        <x:f>'Source Audit'!F88</x:f>
        <x:v>1</x:v>
      </x:c>
      <x:c r="G88" s="11" t="str">
        <x:f>IF(AND(E88=0,F88=1,'Source Audit'!I88&lt;&gt;"Mismatch"),"No provider flag","Review required")</x:f>
        <x:v>No provider flag</x:v>
      </x:c>
      <x:c r="H88" s="2" t="str">
        <x:v>No continuity adjustment</x:v>
      </x:c>
    </x:row>
    <x:row r="89" ht="27" customHeight="1">
      <x:c r="A89" s="9" t="n">
        <x:v>46302</x:v>
      </x:c>
      <x:c r="B89" s="10" t="str">
        <x:v>S&amp;P 500</x:v>
      </x:c>
      <x:c r="C89" s="10" t="str">
        <x:v>S&amp;P 500</x:v>
      </x:c>
      <x:c r="D89" s="9" t="n">
        <x:v>46302</x:v>
      </x:c>
      <x:c r="E89" s="18" t="n">
        <x:f>'Source Audit'!E89</x:f>
        <x:v>0</x:v>
      </x:c>
      <x:c r="F89" s="41" t="n">
        <x:f>'Source Audit'!F89</x:f>
        <x:v>1</x:v>
      </x:c>
      <x:c r="G89" s="12" t="str">
        <x:f>IF(AND(E89=0,F89=1,'Source Audit'!I89&lt;&gt;"Mismatch"),"No provider flag","Review required")</x:f>
        <x:v>No provider flag</x:v>
      </x:c>
      <x:c r="H89" s="10" t="str">
        <x:v>No continuity adjustment</x:v>
      </x:c>
    </x:row>
    <x:row r="90" ht="27" customHeight="1">
      <x:c r="A90" s="8" t="n">
        <x:v>46302</x:v>
      </x:c>
      <x:c r="B90" s="2" t="str">
        <x:v>Nasdaq Composite</x:v>
      </x:c>
      <x:c r="C90" s="2" t="str">
        <x:v>Nasdaq Composite</x:v>
      </x:c>
      <x:c r="D90" s="8" t="n">
        <x:v>46302</x:v>
      </x:c>
      <x:c r="E90" s="19" t="n">
        <x:f>'Source Audit'!E90</x:f>
        <x:v>0</x:v>
      </x:c>
      <x:c r="F90" s="40" t="n">
        <x:f>'Source Audit'!F90</x:f>
        <x:v>1</x:v>
      </x:c>
      <x:c r="G90" s="11" t="str">
        <x:f>IF(AND(E90=0,F90=1,'Source Audit'!I90&lt;&gt;"Mismatch"),"No provider flag","Review required")</x:f>
        <x:v>No provider flag</x:v>
      </x:c>
      <x:c r="H90" s="2" t="str">
        <x:v>No continuity adjustment</x:v>
      </x:c>
    </x:row>
    <x:row r="91" ht="27" customHeight="1">
      <x:c r="A91" s="9" t="n">
        <x:v>46303</x:v>
      </x:c>
      <x:c r="B91" s="10" t="str">
        <x:v>FANUC</x:v>
      </x:c>
      <x:c r="C91" s="10" t="str">
        <x:v>6954</x:v>
      </x:c>
      <x:c r="D91" s="9" t="n">
        <x:v>46303</x:v>
      </x:c>
      <x:c r="E91" s="18" t="n">
        <x:f>'Source Audit'!E91</x:f>
        <x:v>0</x:v>
      </x:c>
      <x:c r="F91" s="41" t="n">
        <x:f>'Source Audit'!F91</x:f>
        <x:v>1</x:v>
      </x:c>
      <x:c r="G91" s="12" t="str">
        <x:f>IF(AND(E91=0,F91=1,'Source Audit'!I91&lt;&gt;"Mismatch"),"No provider flag","Review required")</x:f>
        <x:v>No provider flag</x:v>
      </x:c>
      <x:c r="H91" s="10" t="str">
        <x:v>No continuity adjustment</x:v>
      </x:c>
    </x:row>
    <x:row r="92" ht="27" customHeight="1">
      <x:c r="A92" s="8" t="n">
        <x:v>46303</x:v>
      </x:c>
      <x:c r="B92" s="2" t="str">
        <x:v>Yaskawa Electric</x:v>
      </x:c>
      <x:c r="C92" s="2" t="str">
        <x:v>6506</x:v>
      </x:c>
      <x:c r="D92" s="8" t="n">
        <x:v>46303</x:v>
      </x:c>
      <x:c r="E92" s="19" t="n">
        <x:f>'Source Audit'!E92</x:f>
        <x:v>0</x:v>
      </x:c>
      <x:c r="F92" s="40" t="n">
        <x:f>'Source Audit'!F92</x:f>
        <x:v>1</x:v>
      </x:c>
      <x:c r="G92" s="11" t="str">
        <x:f>IF(AND(E92=0,F92=1,'Source Audit'!I92&lt;&gt;"Mismatch"),"No provider flag","Review required")</x:f>
        <x:v>No provider flag</x:v>
      </x:c>
      <x:c r="H92" s="2" t="str">
        <x:v>No continuity adjustment</x:v>
      </x:c>
    </x:row>
    <x:row r="93" ht="27" customHeight="1">
      <x:c r="A93" s="9" t="n">
        <x:v>46303</x:v>
      </x:c>
      <x:c r="B93" s="10" t="str">
        <x:v>Estun Automation</x:v>
      </x:c>
      <x:c r="C93" s="15" t="str">
        <x:v>002747</x:v>
      </x:c>
      <x:c r="D93" s="9" t="n">
        <x:v>46303</x:v>
      </x:c>
      <x:c r="E93" s="18" t="n">
        <x:f>'Source Audit'!E93</x:f>
        <x:v>0</x:v>
      </x:c>
      <x:c r="F93" s="41" t="n">
        <x:f>'Source Audit'!F93</x:f>
        <x:v>1</x:v>
      </x:c>
      <x:c r="G93" s="12" t="str">
        <x:f>IF(AND(E93=0,F93=1,'Source Audit'!I93&lt;&gt;"Mismatch"),"No provider flag","Review required")</x:f>
        <x:v>No provider flag</x:v>
      </x:c>
      <x:c r="H93" s="10" t="str">
        <x:v>No continuity adjustment</x:v>
      </x:c>
    </x:row>
    <x:row r="94" ht="27" customHeight="1">
      <x:c r="A94" s="8" t="n">
        <x:v>46303</x:v>
      </x:c>
      <x:c r="B94" s="2" t="str">
        <x:v>Teradyne</x:v>
      </x:c>
      <x:c r="C94" s="2" t="str">
        <x:v>TER</x:v>
      </x:c>
      <x:c r="D94" s="8" t="n">
        <x:v>46303</x:v>
      </x:c>
      <x:c r="E94" s="19" t="n">
        <x:f>'Source Audit'!E94</x:f>
        <x:v>0</x:v>
      </x:c>
      <x:c r="F94" s="40" t="n">
        <x:f>'Source Audit'!F94</x:f>
        <x:v>1</x:v>
      </x:c>
      <x:c r="G94" s="11" t="str">
        <x:f>IF(AND(E94=0,F94=1,'Source Audit'!I94&lt;&gt;"Mismatch"),"No provider flag","Review required")</x:f>
        <x:v>No provider flag</x:v>
      </x:c>
      <x:c r="H94" s="2" t="str">
        <x:v>No continuity adjustment</x:v>
      </x:c>
    </x:row>
    <x:row r="95" ht="27" customHeight="1">
      <x:c r="A95" s="9" t="n">
        <x:v>46303</x:v>
      </x:c>
      <x:c r="B95" s="10" t="str">
        <x:v>Nabtesco</x:v>
      </x:c>
      <x:c r="C95" s="10" t="str">
        <x:v>6268</x:v>
      </x:c>
      <x:c r="D95" s="9" t="n">
        <x:v>46303</x:v>
      </x:c>
      <x:c r="E95" s="18" t="n">
        <x:f>'Source Audit'!E95</x:f>
        <x:v>0</x:v>
      </x:c>
      <x:c r="F95" s="41" t="n">
        <x:f>'Source Audit'!F95</x:f>
        <x:v>1</x:v>
      </x:c>
      <x:c r="G95" s="12" t="str">
        <x:f>IF(AND(E95=0,F95=1,'Source Audit'!I95&lt;&gt;"Mismatch"),"No provider flag","Review required")</x:f>
        <x:v>No provider flag</x:v>
      </x:c>
      <x:c r="H95" s="10" t="str">
        <x:v>No continuity adjustment</x:v>
      </x:c>
    </x:row>
    <x:row r="96" ht="27" customHeight="1">
      <x:c r="A96" s="8" t="n">
        <x:v>46303</x:v>
      </x:c>
      <x:c r="B96" s="2" t="str">
        <x:v>Inovance</x:v>
      </x:c>
      <x:c r="C96" s="2" t="str">
        <x:v>300124</x:v>
      </x:c>
      <x:c r="D96" s="8" t="n">
        <x:v>46303</x:v>
      </x:c>
      <x:c r="E96" s="19" t="n">
        <x:f>'Source Audit'!E96</x:f>
        <x:v>0</x:v>
      </x:c>
      <x:c r="F96" s="40" t="n">
        <x:f>'Source Audit'!F96</x:f>
        <x:v>1</x:v>
      </x:c>
      <x:c r="G96" s="11" t="str">
        <x:f>IF(AND(E96=0,F96=1,'Source Audit'!I96&lt;&gt;"Mismatch"),"No provider flag","Review required")</x:f>
        <x:v>No provider flag</x:v>
      </x:c>
      <x:c r="H96" s="2" t="str">
        <x:v>No continuity adjustment</x:v>
      </x:c>
    </x:row>
    <x:row r="97" ht="27" customHeight="1">
      <x:c r="A97" s="9" t="n">
        <x:v>46303</x:v>
      </x:c>
      <x:c r="B97" s="10" t="str">
        <x:v>Keyence</x:v>
      </x:c>
      <x:c r="C97" s="10" t="str">
        <x:v>6861</x:v>
      </x:c>
      <x:c r="D97" s="9" t="n">
        <x:v>46303</x:v>
      </x:c>
      <x:c r="E97" s="18" t="n">
        <x:f>'Source Audit'!E97</x:f>
        <x:v>0</x:v>
      </x:c>
      <x:c r="F97" s="41" t="n">
        <x:f>'Source Audit'!F97</x:f>
        <x:v>1</x:v>
      </x:c>
      <x:c r="G97" s="12" t="str">
        <x:f>IF(AND(E97=0,F97=1,'Source Audit'!I97&lt;&gt;"Mismatch"),"No provider flag","Review required")</x:f>
        <x:v>No provider flag</x:v>
      </x:c>
      <x:c r="H97" s="10" t="str">
        <x:v>No continuity adjustment</x:v>
      </x:c>
    </x:row>
    <x:row r="98" ht="27" customHeight="1">
      <x:c r="A98" s="8" t="n">
        <x:v>46303</x:v>
      </x:c>
      <x:c r="B98" s="2" t="str">
        <x:v>Cognex</x:v>
      </x:c>
      <x:c r="C98" s="2" t="str">
        <x:v>CGNX</x:v>
      </x:c>
      <x:c r="D98" s="8" t="n">
        <x:v>46303</x:v>
      </x:c>
      <x:c r="E98" s="19" t="n">
        <x:f>'Source Audit'!E98</x:f>
        <x:v>0</x:v>
      </x:c>
      <x:c r="F98" s="40" t="n">
        <x:f>'Source Audit'!F98</x:f>
        <x:v>1</x:v>
      </x:c>
      <x:c r="G98" s="11" t="str">
        <x:f>IF(AND(E98=0,F98=1,'Source Audit'!I98&lt;&gt;"Mismatch"),"No provider flag","Review required")</x:f>
        <x:v>No provider flag</x:v>
      </x:c>
      <x:c r="H98" s="2" t="str">
        <x:v>No continuity adjustment</x:v>
      </x:c>
    </x:row>
    <x:row r="99" ht="44" customHeight="1">
      <x:c r="A99" s="9" t="n">
        <x:v>46303</x:v>
      </x:c>
      <x:c r="B99" s="10" t="str">
        <x:v>Ouster</x:v>
      </x:c>
      <x:c r="C99" s="10" t="str">
        <x:v>OUST</x:v>
      </x:c>
      <x:c r="D99" s="9" t="n">
        <x:v>46303</x:v>
      </x:c>
      <x:c r="E99" s="18" t="n">
        <x:f>'Source Audit'!E99</x:f>
        <x:v>0</x:v>
      </x:c>
      <x:c r="F99" s="41" t="n">
        <x:f>'Source Audit'!F99</x:f>
        <x:v>1</x:v>
      </x:c>
      <x:c r="G99" s="12" t="str">
        <x:f>IF(AND(E99=0,F99=1,'Source Audit'!I99&lt;&gt;"Mismatch"),"No provider flag","Review required")</x:f>
        <x:v>No provider flag</x:v>
      </x:c>
      <x:c r="H99" s="16" t="str">
        <x:v>Approved provider MIC exception; no price adjustment</x:v>
      </x:c>
    </x:row>
    <x:row r="100" ht="27" customHeight="1">
      <x:c r="A100" s="8" t="n">
        <x:v>46303</x:v>
      </x:c>
      <x:c r="B100" s="2" t="str">
        <x:v>Hesai</x:v>
      </x:c>
      <x:c r="C100" s="2" t="str">
        <x:v>HSAI</x:v>
      </x:c>
      <x:c r="D100" s="8" t="n">
        <x:v>46303</x:v>
      </x:c>
      <x:c r="E100" s="19" t="n">
        <x:f>'Source Audit'!E100</x:f>
        <x:v>0</x:v>
      </x:c>
      <x:c r="F100" s="40" t="n">
        <x:f>'Source Audit'!F100</x:f>
        <x:v>1</x:v>
      </x:c>
      <x:c r="G100" s="11" t="str">
        <x:f>IF(AND(E100=0,F100=1,'Source Audit'!I100&lt;&gt;"Mismatch"),"No provider flag","Review required")</x:f>
        <x:v>No provider flag</x:v>
      </x:c>
      <x:c r="H100" s="2" t="str">
        <x:v>No continuity adjustment</x:v>
      </x:c>
    </x:row>
    <x:row r="101" ht="27" customHeight="1">
      <x:c r="A101" s="9" t="n">
        <x:v>46303</x:v>
      </x:c>
      <x:c r="B101" s="10" t="str">
        <x:v>Rockwell Automation</x:v>
      </x:c>
      <x:c r="C101" s="10" t="str">
        <x:v>ROK</x:v>
      </x:c>
      <x:c r="D101" s="9" t="n">
        <x:v>46303</x:v>
      </x:c>
      <x:c r="E101" s="18" t="n">
        <x:f>'Source Audit'!E101</x:f>
        <x:v>0</x:v>
      </x:c>
      <x:c r="F101" s="41" t="n">
        <x:f>'Source Audit'!F101</x:f>
        <x:v>1</x:v>
      </x:c>
      <x:c r="G101" s="12" t="str">
        <x:f>IF(AND(E101=0,F101=1,'Source Audit'!I101&lt;&gt;"Mismatch"),"No provider flag","Review required")</x:f>
        <x:v>No provider flag</x:v>
      </x:c>
      <x:c r="H101" s="10" t="str">
        <x:v>No continuity adjustment</x:v>
      </x:c>
    </x:row>
    <x:row r="102" ht="27" customHeight="1">
      <x:c r="A102" s="8" t="n">
        <x:v>46303</x:v>
      </x:c>
      <x:c r="B102" s="2" t="str">
        <x:v>Siemens</x:v>
      </x:c>
      <x:c r="C102" s="2" t="str">
        <x:v>SIE</x:v>
      </x:c>
      <x:c r="D102" s="8" t="n">
        <x:v>46303</x:v>
      </x:c>
      <x:c r="E102" s="19" t="n">
        <x:f>'Source Audit'!E102</x:f>
        <x:v>0</x:v>
      </x:c>
      <x:c r="F102" s="40" t="n">
        <x:f>'Source Audit'!F102</x:f>
        <x:v>1</x:v>
      </x:c>
      <x:c r="G102" s="11" t="str">
        <x:f>IF(AND(E102=0,F102=1,'Source Audit'!I102&lt;&gt;"Mismatch"),"No provider flag","Review required")</x:f>
        <x:v>No provider flag</x:v>
      </x:c>
      <x:c r="H102" s="2" t="str">
        <x:v>No continuity adjustment</x:v>
      </x:c>
    </x:row>
    <x:row r="103" ht="27" customHeight="1">
      <x:c r="A103" s="9" t="n">
        <x:v>46303</x:v>
      </x:c>
      <x:c r="B103" s="10" t="str">
        <x:v>NXP Semiconductors</x:v>
      </x:c>
      <x:c r="C103" s="10" t="str">
        <x:v>NXPI</x:v>
      </x:c>
      <x:c r="D103" s="9" t="n">
        <x:v>46303</x:v>
      </x:c>
      <x:c r="E103" s="18" t="n">
        <x:f>'Source Audit'!E103</x:f>
        <x:v>0</x:v>
      </x:c>
      <x:c r="F103" s="41" t="n">
        <x:f>'Source Audit'!F103</x:f>
        <x:v>1</x:v>
      </x:c>
      <x:c r="G103" s="12" t="str">
        <x:f>IF(AND(E103=0,F103=1,'Source Audit'!I103&lt;&gt;"Mismatch"),"No provider flag","Review required")</x:f>
        <x:v>No provider flag</x:v>
      </x:c>
      <x:c r="H103" s="10" t="str">
        <x:v>No continuity adjustment</x:v>
      </x:c>
    </x:row>
    <x:row r="104" ht="27" customHeight="1">
      <x:c r="A104" s="8" t="n">
        <x:v>46303</x:v>
      </x:c>
      <x:c r="B104" s="2" t="str">
        <x:v>Daifuku</x:v>
      </x:c>
      <x:c r="C104" s="2" t="str">
        <x:v>6383</x:v>
      </x:c>
      <x:c r="D104" s="8" t="n">
        <x:v>46303</x:v>
      </x:c>
      <x:c r="E104" s="19" t="n">
        <x:f>'Source Audit'!E104</x:f>
        <x:v>0</x:v>
      </x:c>
      <x:c r="F104" s="40" t="n">
        <x:f>'Source Audit'!F104</x:f>
        <x:v>1</x:v>
      </x:c>
      <x:c r="G104" s="11" t="str">
        <x:f>IF(AND(E104=0,F104=1,'Source Audit'!I104&lt;&gt;"Mismatch"),"No provider flag","Review required")</x:f>
        <x:v>No provider flag</x:v>
      </x:c>
      <x:c r="H104" s="2" t="str">
        <x:v>No continuity adjustment</x:v>
      </x:c>
    </x:row>
    <x:row r="105" ht="27" customHeight="1">
      <x:c r="A105" s="9" t="n">
        <x:v>46303</x:v>
      </x:c>
      <x:c r="B105" s="10" t="str">
        <x:v>Hexagon</x:v>
      </x:c>
      <x:c r="C105" s="10" t="str">
        <x:v>HEXA B</x:v>
      </x:c>
      <x:c r="D105" s="9" t="n">
        <x:v>46303</x:v>
      </x:c>
      <x:c r="E105" s="18" t="n">
        <x:f>'Source Audit'!E105</x:f>
        <x:v>0</x:v>
      </x:c>
      <x:c r="F105" s="41" t="n">
        <x:f>'Source Audit'!F105</x:f>
        <x:v>1</x:v>
      </x:c>
      <x:c r="G105" s="12" t="str">
        <x:f>IF(AND(E105=0,F105=1,'Source Audit'!I105&lt;&gt;"Mismatch"),"No provider flag","Review required")</x:f>
        <x:v>No provider flag</x:v>
      </x:c>
      <x:c r="H105" s="10" t="str">
        <x:v>No continuity adjustment</x:v>
      </x:c>
    </x:row>
    <x:row r="106" ht="27" customHeight="1">
      <x:c r="A106" s="8" t="n">
        <x:v>46303</x:v>
      </x:c>
      <x:c r="B106" s="2" t="str">
        <x:v>S&amp;P 500</x:v>
      </x:c>
      <x:c r="C106" s="2" t="str">
        <x:v>S&amp;P 500</x:v>
      </x:c>
      <x:c r="D106" s="8" t="n">
        <x:v>46303</x:v>
      </x:c>
      <x:c r="E106" s="19" t="n">
        <x:f>'Source Audit'!E106</x:f>
        <x:v>0</x:v>
      </x:c>
      <x:c r="F106" s="40" t="n">
        <x:f>'Source Audit'!F106</x:f>
        <x:v>1</x:v>
      </x:c>
      <x:c r="G106" s="11" t="str">
        <x:f>IF(AND(E106=0,F106=1,'Source Audit'!I106&lt;&gt;"Mismatch"),"No provider flag","Review required")</x:f>
        <x:v>No provider flag</x:v>
      </x:c>
      <x:c r="H106" s="2" t="str">
        <x:v>No continuity adjustment</x:v>
      </x:c>
    </x:row>
    <x:row r="107" ht="27" customHeight="1">
      <x:c r="A107" s="9" t="n">
        <x:v>46303</x:v>
      </x:c>
      <x:c r="B107" s="10" t="str">
        <x:v>Nasdaq Composite</x:v>
      </x:c>
      <x:c r="C107" s="10" t="str">
        <x:v>Nasdaq Composite</x:v>
      </x:c>
      <x:c r="D107" s="9" t="n">
        <x:v>46303</x:v>
      </x:c>
      <x:c r="E107" s="18" t="n">
        <x:f>'Source Audit'!E107</x:f>
        <x:v>0</x:v>
      </x:c>
      <x:c r="F107" s="41" t="n">
        <x:f>'Source Audit'!F107</x:f>
        <x:v>1</x:v>
      </x:c>
      <x:c r="G107" s="12" t="str">
        <x:f>IF(AND(E107=0,F107=1,'Source Audit'!I107&lt;&gt;"Mismatch"),"No provider flag","Review required")</x:f>
        <x:v>No provider flag</x:v>
      </x:c>
      <x:c r="H107" s="10" t="str">
        <x:v>No continuity adjustment</x:v>
      </x:c>
    </x:row>
    <x:row r="108" ht="27" customHeight="1">
      <x:c r="A108" s="8" t="n">
        <x:v>46304</x:v>
      </x:c>
      <x:c r="B108" s="2" t="str">
        <x:v>FANUC</x:v>
      </x:c>
      <x:c r="C108" s="2" t="str">
        <x:v>6954</x:v>
      </x:c>
      <x:c r="D108" s="8" t="n">
        <x:v>46304</x:v>
      </x:c>
      <x:c r="E108" s="19" t="n">
        <x:f>'Source Audit'!E108</x:f>
        <x:v>0</x:v>
      </x:c>
      <x:c r="F108" s="40" t="n">
        <x:f>'Source Audit'!F108</x:f>
        <x:v>1</x:v>
      </x:c>
      <x:c r="G108" s="11" t="str">
        <x:f>IF(AND(E108=0,F108=1,'Source Audit'!I108&lt;&gt;"Mismatch"),"No provider flag","Review required")</x:f>
        <x:v>No provider flag</x:v>
      </x:c>
      <x:c r="H108" s="2" t="str">
        <x:v>No continuity adjustment</x:v>
      </x:c>
    </x:row>
    <x:row r="109" ht="27" customHeight="1">
      <x:c r="A109" s="9" t="n">
        <x:v>46304</x:v>
      </x:c>
      <x:c r="B109" s="10" t="str">
        <x:v>Yaskawa Electric</x:v>
      </x:c>
      <x:c r="C109" s="10" t="str">
        <x:v>6506</x:v>
      </x:c>
      <x:c r="D109" s="9" t="n">
        <x:v>46304</x:v>
      </x:c>
      <x:c r="E109" s="18" t="n">
        <x:f>'Source Audit'!E109</x:f>
        <x:v>0</x:v>
      </x:c>
      <x:c r="F109" s="41" t="n">
        <x:f>'Source Audit'!F109</x:f>
        <x:v>1</x:v>
      </x:c>
      <x:c r="G109" s="12" t="str">
        <x:f>IF(AND(E109=0,F109=1,'Source Audit'!I109&lt;&gt;"Mismatch"),"No provider flag","Review required")</x:f>
        <x:v>No provider flag</x:v>
      </x:c>
      <x:c r="H109" s="10" t="str">
        <x:v>No continuity adjustment</x:v>
      </x:c>
    </x:row>
    <x:row r="110" ht="27" customHeight="1">
      <x:c r="A110" s="8" t="n">
        <x:v>46304</x:v>
      </x:c>
      <x:c r="B110" s="2" t="str">
        <x:v>Estun Automation</x:v>
      </x:c>
      <x:c r="C110" s="13" t="str">
        <x:v>002747</x:v>
      </x:c>
      <x:c r="D110" s="8" t="n">
        <x:v>46304</x:v>
      </x:c>
      <x:c r="E110" s="19" t="n">
        <x:f>'Source Audit'!E110</x:f>
        <x:v>0</x:v>
      </x:c>
      <x:c r="F110" s="40" t="n">
        <x:f>'Source Audit'!F110</x:f>
        <x:v>1</x:v>
      </x:c>
      <x:c r="G110" s="11" t="str">
        <x:f>IF(AND(E110=0,F110=1,'Source Audit'!I110&lt;&gt;"Mismatch"),"No provider flag","Review required")</x:f>
        <x:v>No provider flag</x:v>
      </x:c>
      <x:c r="H110" s="2" t="str">
        <x:v>No continuity adjustment</x:v>
      </x:c>
    </x:row>
    <x:row r="111" ht="27" customHeight="1">
      <x:c r="A111" s="9" t="n">
        <x:v>46304</x:v>
      </x:c>
      <x:c r="B111" s="10" t="str">
        <x:v>Teradyne</x:v>
      </x:c>
      <x:c r="C111" s="10" t="str">
        <x:v>TER</x:v>
      </x:c>
      <x:c r="D111" s="9" t="n">
        <x:v>46304</x:v>
      </x:c>
      <x:c r="E111" s="18" t="n">
        <x:f>'Source Audit'!E111</x:f>
        <x:v>0</x:v>
      </x:c>
      <x:c r="F111" s="41" t="n">
        <x:f>'Source Audit'!F111</x:f>
        <x:v>1</x:v>
      </x:c>
      <x:c r="G111" s="12" t="str">
        <x:f>IF(AND(E111=0,F111=1,'Source Audit'!I111&lt;&gt;"Mismatch"),"No provider flag","Review required")</x:f>
        <x:v>No provider flag</x:v>
      </x:c>
      <x:c r="H111" s="10" t="str">
        <x:v>No continuity adjustment</x:v>
      </x:c>
    </x:row>
    <x:row r="112" ht="27" customHeight="1">
      <x:c r="A112" s="8" t="n">
        <x:v>46304</x:v>
      </x:c>
      <x:c r="B112" s="2" t="str">
        <x:v>Nabtesco</x:v>
      </x:c>
      <x:c r="C112" s="2" t="str">
        <x:v>6268</x:v>
      </x:c>
      <x:c r="D112" s="8" t="n">
        <x:v>46304</x:v>
      </x:c>
      <x:c r="E112" s="19" t="n">
        <x:f>'Source Audit'!E112</x:f>
        <x:v>0</x:v>
      </x:c>
      <x:c r="F112" s="40" t="n">
        <x:f>'Source Audit'!F112</x:f>
        <x:v>1</x:v>
      </x:c>
      <x:c r="G112" s="11" t="str">
        <x:f>IF(AND(E112=0,F112=1,'Source Audit'!I112&lt;&gt;"Mismatch"),"No provider flag","Review required")</x:f>
        <x:v>No provider flag</x:v>
      </x:c>
      <x:c r="H112" s="2" t="str">
        <x:v>No continuity adjustment</x:v>
      </x:c>
    </x:row>
    <x:row r="113" ht="27" customHeight="1">
      <x:c r="A113" s="9" t="n">
        <x:v>46304</x:v>
      </x:c>
      <x:c r="B113" s="10" t="str">
        <x:v>Inovance</x:v>
      </x:c>
      <x:c r="C113" s="10" t="str">
        <x:v>300124</x:v>
      </x:c>
      <x:c r="D113" s="9" t="n">
        <x:v>46304</x:v>
      </x:c>
      <x:c r="E113" s="18" t="n">
        <x:f>'Source Audit'!E113</x:f>
        <x:v>0</x:v>
      </x:c>
      <x:c r="F113" s="41" t="n">
        <x:f>'Source Audit'!F113</x:f>
        <x:v>1</x:v>
      </x:c>
      <x:c r="G113" s="12" t="str">
        <x:f>IF(AND(E113=0,F113=1,'Source Audit'!I113&lt;&gt;"Mismatch"),"No provider flag","Review required")</x:f>
        <x:v>No provider flag</x:v>
      </x:c>
      <x:c r="H113" s="10" t="str">
        <x:v>No continuity adjustment</x:v>
      </x:c>
    </x:row>
    <x:row r="114" ht="27" customHeight="1">
      <x:c r="A114" s="8" t="n">
        <x:v>46304</x:v>
      </x:c>
      <x:c r="B114" s="2" t="str">
        <x:v>Keyence</x:v>
      </x:c>
      <x:c r="C114" s="2" t="str">
        <x:v>6861</x:v>
      </x:c>
      <x:c r="D114" s="8" t="n">
        <x:v>46304</x:v>
      </x:c>
      <x:c r="E114" s="19" t="n">
        <x:f>'Source Audit'!E114</x:f>
        <x:v>0</x:v>
      </x:c>
      <x:c r="F114" s="40" t="n">
        <x:f>'Source Audit'!F114</x:f>
        <x:v>1</x:v>
      </x:c>
      <x:c r="G114" s="11" t="str">
        <x:f>IF(AND(E114=0,F114=1,'Source Audit'!I114&lt;&gt;"Mismatch"),"No provider flag","Review required")</x:f>
        <x:v>No provider flag</x:v>
      </x:c>
      <x:c r="H114" s="2" t="str">
        <x:v>No continuity adjustment</x:v>
      </x:c>
    </x:row>
    <x:row r="115" ht="27" customHeight="1">
      <x:c r="A115" s="9" t="n">
        <x:v>46304</x:v>
      </x:c>
      <x:c r="B115" s="10" t="str">
        <x:v>Cognex</x:v>
      </x:c>
      <x:c r="C115" s="10" t="str">
        <x:v>CGNX</x:v>
      </x:c>
      <x:c r="D115" s="9" t="n">
        <x:v>46304</x:v>
      </x:c>
      <x:c r="E115" s="18" t="n">
        <x:f>'Source Audit'!E115</x:f>
        <x:v>0</x:v>
      </x:c>
      <x:c r="F115" s="41" t="n">
        <x:f>'Source Audit'!F115</x:f>
        <x:v>1</x:v>
      </x:c>
      <x:c r="G115" s="12" t="str">
        <x:f>IF(AND(E115=0,F115=1,'Source Audit'!I115&lt;&gt;"Mismatch"),"No provider flag","Review required")</x:f>
        <x:v>No provider flag</x:v>
      </x:c>
      <x:c r="H115" s="10" t="str">
        <x:v>No continuity adjustment</x:v>
      </x:c>
    </x:row>
    <x:row r="116" ht="44" customHeight="1">
      <x:c r="A116" s="8" t="n">
        <x:v>46304</x:v>
      </x:c>
      <x:c r="B116" s="2" t="str">
        <x:v>Ouster</x:v>
      </x:c>
      <x:c r="C116" s="2" t="str">
        <x:v>OUST</x:v>
      </x:c>
      <x:c r="D116" s="8" t="n">
        <x:v>46304</x:v>
      </x:c>
      <x:c r="E116" s="19" t="n">
        <x:f>'Source Audit'!E116</x:f>
        <x:v>0</x:v>
      </x:c>
      <x:c r="F116" s="40" t="n">
        <x:f>'Source Audit'!F116</x:f>
        <x:v>1</x:v>
      </x:c>
      <x:c r="G116" s="11" t="str">
        <x:f>IF(AND(E116=0,F116=1,'Source Audit'!I116&lt;&gt;"Mismatch"),"No provider flag","Review required")</x:f>
        <x:v>No provider flag</x:v>
      </x:c>
      <x:c r="H116" s="14" t="str">
        <x:v>Approved provider MIC exception; no price adjustment</x:v>
      </x:c>
    </x:row>
    <x:row r="117" ht="27" customHeight="1">
      <x:c r="A117" s="9" t="n">
        <x:v>46304</x:v>
      </x:c>
      <x:c r="B117" s="10" t="str">
        <x:v>Hesai</x:v>
      </x:c>
      <x:c r="C117" s="10" t="str">
        <x:v>HSAI</x:v>
      </x:c>
      <x:c r="D117" s="9" t="n">
        <x:v>46304</x:v>
      </x:c>
      <x:c r="E117" s="18" t="n">
        <x:f>'Source Audit'!E117</x:f>
        <x:v>0</x:v>
      </x:c>
      <x:c r="F117" s="41" t="n">
        <x:f>'Source Audit'!F117</x:f>
        <x:v>1</x:v>
      </x:c>
      <x:c r="G117" s="12" t="str">
        <x:f>IF(AND(E117=0,F117=1,'Source Audit'!I117&lt;&gt;"Mismatch"),"No provider flag","Review required")</x:f>
        <x:v>No provider flag</x:v>
      </x:c>
      <x:c r="H117" s="10" t="str">
        <x:v>No continuity adjustment</x:v>
      </x:c>
    </x:row>
    <x:row r="118" ht="27" customHeight="1">
      <x:c r="A118" s="8" t="n">
        <x:v>46304</x:v>
      </x:c>
      <x:c r="B118" s="2" t="str">
        <x:v>Rockwell Automation</x:v>
      </x:c>
      <x:c r="C118" s="2" t="str">
        <x:v>ROK</x:v>
      </x:c>
      <x:c r="D118" s="8" t="n">
        <x:v>46304</x:v>
      </x:c>
      <x:c r="E118" s="19" t="n">
        <x:f>'Source Audit'!E118</x:f>
        <x:v>0</x:v>
      </x:c>
      <x:c r="F118" s="40" t="n">
        <x:f>'Source Audit'!F118</x:f>
        <x:v>1</x:v>
      </x:c>
      <x:c r="G118" s="11" t="str">
        <x:f>IF(AND(E118=0,F118=1,'Source Audit'!I118&lt;&gt;"Mismatch"),"No provider flag","Review required")</x:f>
        <x:v>No provider flag</x:v>
      </x:c>
      <x:c r="H118" s="2" t="str">
        <x:v>No continuity adjustment</x:v>
      </x:c>
    </x:row>
    <x:row r="119" ht="27" customHeight="1">
      <x:c r="A119" s="9" t="n">
        <x:v>46304</x:v>
      </x:c>
      <x:c r="B119" s="10" t="str">
        <x:v>Siemens</x:v>
      </x:c>
      <x:c r="C119" s="10" t="str">
        <x:v>SIE</x:v>
      </x:c>
      <x:c r="D119" s="9" t="n">
        <x:v>46304</x:v>
      </x:c>
      <x:c r="E119" s="18" t="n">
        <x:f>'Source Audit'!E119</x:f>
        <x:v>0</x:v>
      </x:c>
      <x:c r="F119" s="41" t="n">
        <x:f>'Source Audit'!F119</x:f>
        <x:v>1</x:v>
      </x:c>
      <x:c r="G119" s="12" t="str">
        <x:f>IF(AND(E119=0,F119=1,'Source Audit'!I119&lt;&gt;"Mismatch"),"No provider flag","Review required")</x:f>
        <x:v>No provider flag</x:v>
      </x:c>
      <x:c r="H119" s="10" t="str">
        <x:v>No continuity adjustment</x:v>
      </x:c>
    </x:row>
    <x:row r="120" ht="27" customHeight="1">
      <x:c r="A120" s="8" t="n">
        <x:v>46304</x:v>
      </x:c>
      <x:c r="B120" s="2" t="str">
        <x:v>NXP Semiconductors</x:v>
      </x:c>
      <x:c r="C120" s="2" t="str">
        <x:v>NXPI</x:v>
      </x:c>
      <x:c r="D120" s="8" t="n">
        <x:v>46304</x:v>
      </x:c>
      <x:c r="E120" s="19" t="n">
        <x:f>'Source Audit'!E120</x:f>
        <x:v>0</x:v>
      </x:c>
      <x:c r="F120" s="40" t="n">
        <x:f>'Source Audit'!F120</x:f>
        <x:v>1</x:v>
      </x:c>
      <x:c r="G120" s="11" t="str">
        <x:f>IF(AND(E120=0,F120=1,'Source Audit'!I120&lt;&gt;"Mismatch"),"No provider flag","Review required")</x:f>
        <x:v>No provider flag</x:v>
      </x:c>
      <x:c r="H120" s="2" t="str">
        <x:v>No continuity adjustment</x:v>
      </x:c>
    </x:row>
    <x:row r="121" ht="27" customHeight="1">
      <x:c r="A121" s="9" t="n">
        <x:v>46304</x:v>
      </x:c>
      <x:c r="B121" s="10" t="str">
        <x:v>Daifuku</x:v>
      </x:c>
      <x:c r="C121" s="10" t="str">
        <x:v>6383</x:v>
      </x:c>
      <x:c r="D121" s="9" t="n">
        <x:v>46304</x:v>
      </x:c>
      <x:c r="E121" s="18" t="n">
        <x:f>'Source Audit'!E121</x:f>
        <x:v>0</x:v>
      </x:c>
      <x:c r="F121" s="41" t="n">
        <x:f>'Source Audit'!F121</x:f>
        <x:v>1</x:v>
      </x:c>
      <x:c r="G121" s="12" t="str">
        <x:f>IF(AND(E121=0,F121=1,'Source Audit'!I121&lt;&gt;"Mismatch"),"No provider flag","Review required")</x:f>
        <x:v>No provider flag</x:v>
      </x:c>
      <x:c r="H121" s="10" t="str">
        <x:v>No continuity adjustment</x:v>
      </x:c>
    </x:row>
    <x:row r="122" ht="27" customHeight="1">
      <x:c r="A122" s="8" t="n">
        <x:v>46304</x:v>
      </x:c>
      <x:c r="B122" s="2" t="str">
        <x:v>Hexagon</x:v>
      </x:c>
      <x:c r="C122" s="2" t="str">
        <x:v>HEXA B</x:v>
      </x:c>
      <x:c r="D122" s="8" t="n">
        <x:v>46304</x:v>
      </x:c>
      <x:c r="E122" s="19" t="n">
        <x:f>'Source Audit'!E122</x:f>
        <x:v>0</x:v>
      </x:c>
      <x:c r="F122" s="40" t="n">
        <x:f>'Source Audit'!F122</x:f>
        <x:v>1</x:v>
      </x:c>
      <x:c r="G122" s="11" t="str">
        <x:f>IF(AND(E122=0,F122=1,'Source Audit'!I122&lt;&gt;"Mismatch"),"No provider flag","Review required")</x:f>
        <x:v>No provider flag</x:v>
      </x:c>
      <x:c r="H122" s="2" t="str">
        <x:v>No continuity adjustment</x:v>
      </x:c>
    </x:row>
    <x:row r="123" ht="27" customHeight="1">
      <x:c r="A123" s="9" t="n">
        <x:v>46304</x:v>
      </x:c>
      <x:c r="B123" s="10" t="str">
        <x:v>S&amp;P 500</x:v>
      </x:c>
      <x:c r="C123" s="10" t="str">
        <x:v>S&amp;P 500</x:v>
      </x:c>
      <x:c r="D123" s="9" t="n">
        <x:v>46304</x:v>
      </x:c>
      <x:c r="E123" s="18" t="n">
        <x:f>'Source Audit'!E123</x:f>
        <x:v>0</x:v>
      </x:c>
      <x:c r="F123" s="41" t="n">
        <x:f>'Source Audit'!F123</x:f>
        <x:v>1</x:v>
      </x:c>
      <x:c r="G123" s="12" t="str">
        <x:f>IF(AND(E123=0,F123=1,'Source Audit'!I123&lt;&gt;"Mismatch"),"No provider flag","Review required")</x:f>
        <x:v>No provider flag</x:v>
      </x:c>
      <x:c r="H123" s="10" t="str">
        <x:v>No continuity adjustment</x:v>
      </x:c>
    </x:row>
    <x:row r="124" ht="27" customHeight="1">
      <x:c r="A124" s="8" t="n">
        <x:v>46304</x:v>
      </x:c>
      <x:c r="B124" s="2" t="str">
        <x:v>Nasdaq Composite</x:v>
      </x:c>
      <x:c r="C124" s="2" t="str">
        <x:v>Nasdaq Composite</x:v>
      </x:c>
      <x:c r="D124" s="8" t="n">
        <x:v>46304</x:v>
      </x:c>
      <x:c r="E124" s="19" t="n">
        <x:f>'Source Audit'!E124</x:f>
        <x:v>0</x:v>
      </x:c>
      <x:c r="F124" s="40" t="n">
        <x:f>'Source Audit'!F124</x:f>
        <x:v>1</x:v>
      </x:c>
      <x:c r="G124" s="11" t="str">
        <x:f>IF(AND(E124=0,F124=1,'Source Audit'!I124&lt;&gt;"Mismatch"),"No provider flag","Review required")</x:f>
        <x:v>No provider flag</x:v>
      </x:c>
      <x:c r="H124" s="2" t="str">
        <x:v>No continuity adjustment</x:v>
      </x:c>
    </x:row>
    <x:row r="125" ht="27" customHeight="1">
      <x:c r="A125" s="9" t="n">
        <x:v>46307</x:v>
      </x:c>
      <x:c r="B125" s="10" t="str">
        <x:v>FANUC</x:v>
      </x:c>
      <x:c r="C125" s="10" t="str">
        <x:v>6954</x:v>
      </x:c>
      <x:c r="D125" s="9" t="n">
        <x:v>46304</x:v>
      </x:c>
      <x:c r="E125" s="18" t="n">
        <x:f>'Source Audit'!E125</x:f>
        <x:v>0</x:v>
      </x:c>
      <x:c r="F125" s="41" t="n">
        <x:f>'Source Audit'!F125</x:f>
        <x:v>1</x:v>
      </x:c>
      <x:c r="G125" s="12" t="str">
        <x:f>IF(AND(E125=0,F125=1,'Source Audit'!I125&lt;&gt;"Mismatch"),"No provider flag","Review required")</x:f>
        <x:v>No provider flag</x:v>
      </x:c>
      <x:c r="H125" s="10" t="str">
        <x:v>No continuity adjustment</x:v>
      </x:c>
    </x:row>
    <x:row r="126" ht="27" customHeight="1">
      <x:c r="A126" s="8" t="n">
        <x:v>46307</x:v>
      </x:c>
      <x:c r="B126" s="2" t="str">
        <x:v>Yaskawa Electric</x:v>
      </x:c>
      <x:c r="C126" s="2" t="str">
        <x:v>6506</x:v>
      </x:c>
      <x:c r="D126" s="8" t="n">
        <x:v>46304</x:v>
      </x:c>
      <x:c r="E126" s="19" t="n">
        <x:f>'Source Audit'!E126</x:f>
        <x:v>0</x:v>
      </x:c>
      <x:c r="F126" s="40" t="n">
        <x:f>'Source Audit'!F126</x:f>
        <x:v>1</x:v>
      </x:c>
      <x:c r="G126" s="11" t="str">
        <x:f>IF(AND(E126=0,F126=1,'Source Audit'!I126&lt;&gt;"Mismatch"),"No provider flag","Review required")</x:f>
        <x:v>No provider flag</x:v>
      </x:c>
      <x:c r="H126" s="2" t="str">
        <x:v>No continuity adjustment</x:v>
      </x:c>
    </x:row>
    <x:row r="127" ht="27" customHeight="1">
      <x:c r="A127" s="9" t="n">
        <x:v>46307</x:v>
      </x:c>
      <x:c r="B127" s="10" t="str">
        <x:v>Estun Automation</x:v>
      </x:c>
      <x:c r="C127" s="15" t="str">
        <x:v>002747</x:v>
      </x:c>
      <x:c r="D127" s="9" t="n">
        <x:v>46307</x:v>
      </x:c>
      <x:c r="E127" s="18" t="n">
        <x:f>'Source Audit'!E127</x:f>
        <x:v>0</x:v>
      </x:c>
      <x:c r="F127" s="41" t="n">
        <x:f>'Source Audit'!F127</x:f>
        <x:v>1</x:v>
      </x:c>
      <x:c r="G127" s="12" t="str">
        <x:f>IF(AND(E127=0,F127=1,'Source Audit'!I127&lt;&gt;"Mismatch"),"No provider flag","Review required")</x:f>
        <x:v>No provider flag</x:v>
      </x:c>
      <x:c r="H127" s="10" t="str">
        <x:v>No continuity adjustment</x:v>
      </x:c>
    </x:row>
    <x:row r="128" ht="27" customHeight="1">
      <x:c r="A128" s="8" t="n">
        <x:v>46307</x:v>
      </x:c>
      <x:c r="B128" s="2" t="str">
        <x:v>Teradyne</x:v>
      </x:c>
      <x:c r="C128" s="2" t="str">
        <x:v>TER</x:v>
      </x:c>
      <x:c r="D128" s="8" t="n">
        <x:v>46307</x:v>
      </x:c>
      <x:c r="E128" s="19" t="n">
        <x:f>'Source Audit'!E128</x:f>
        <x:v>0</x:v>
      </x:c>
      <x:c r="F128" s="40" t="n">
        <x:f>'Source Audit'!F128</x:f>
        <x:v>1</x:v>
      </x:c>
      <x:c r="G128" s="11" t="str">
        <x:f>IF(AND(E128=0,F128=1,'Source Audit'!I128&lt;&gt;"Mismatch"),"No provider flag","Review required")</x:f>
        <x:v>No provider flag</x:v>
      </x:c>
      <x:c r="H128" s="2" t="str">
        <x:v>No continuity adjustment</x:v>
      </x:c>
    </x:row>
    <x:row r="129" ht="27" customHeight="1">
      <x:c r="A129" s="9" t="n">
        <x:v>46307</x:v>
      </x:c>
      <x:c r="B129" s="10" t="str">
        <x:v>Nabtesco</x:v>
      </x:c>
      <x:c r="C129" s="10" t="str">
        <x:v>6268</x:v>
      </x:c>
      <x:c r="D129" s="9" t="n">
        <x:v>46304</x:v>
      </x:c>
      <x:c r="E129" s="18" t="n">
        <x:f>'Source Audit'!E129</x:f>
        <x:v>0</x:v>
      </x:c>
      <x:c r="F129" s="41" t="n">
        <x:f>'Source Audit'!F129</x:f>
        <x:v>1</x:v>
      </x:c>
      <x:c r="G129" s="12" t="str">
        <x:f>IF(AND(E129=0,F129=1,'Source Audit'!I129&lt;&gt;"Mismatch"),"No provider flag","Review required")</x:f>
        <x:v>No provider flag</x:v>
      </x:c>
      <x:c r="H129" s="10" t="str">
        <x:v>No continuity adjustment</x:v>
      </x:c>
    </x:row>
    <x:row r="130" ht="27" customHeight="1">
      <x:c r="A130" s="8" t="n">
        <x:v>46307</x:v>
      </x:c>
      <x:c r="B130" s="2" t="str">
        <x:v>Inovance</x:v>
      </x:c>
      <x:c r="C130" s="2" t="str">
        <x:v>300124</x:v>
      </x:c>
      <x:c r="D130" s="8" t="n">
        <x:v>46307</x:v>
      </x:c>
      <x:c r="E130" s="19" t="n">
        <x:f>'Source Audit'!E130</x:f>
        <x:v>0</x:v>
      </x:c>
      <x:c r="F130" s="40" t="n">
        <x:f>'Source Audit'!F130</x:f>
        <x:v>1</x:v>
      </x:c>
      <x:c r="G130" s="11" t="str">
        <x:f>IF(AND(E130=0,F130=1,'Source Audit'!I130&lt;&gt;"Mismatch"),"No provider flag","Review required")</x:f>
        <x:v>No provider flag</x:v>
      </x:c>
      <x:c r="H130" s="2" t="str">
        <x:v>No continuity adjustment</x:v>
      </x:c>
    </x:row>
    <x:row r="131" ht="27" customHeight="1">
      <x:c r="A131" s="9" t="n">
        <x:v>46307</x:v>
      </x:c>
      <x:c r="B131" s="10" t="str">
        <x:v>Keyence</x:v>
      </x:c>
      <x:c r="C131" s="10" t="str">
        <x:v>6861</x:v>
      </x:c>
      <x:c r="D131" s="9" t="n">
        <x:v>46304</x:v>
      </x:c>
      <x:c r="E131" s="18" t="n">
        <x:f>'Source Audit'!E131</x:f>
        <x:v>0</x:v>
      </x:c>
      <x:c r="F131" s="41" t="n">
        <x:f>'Source Audit'!F131</x:f>
        <x:v>1</x:v>
      </x:c>
      <x:c r="G131" s="12" t="str">
        <x:f>IF(AND(E131=0,F131=1,'Source Audit'!I131&lt;&gt;"Mismatch"),"No provider flag","Review required")</x:f>
        <x:v>No provider flag</x:v>
      </x:c>
      <x:c r="H131" s="10" t="str">
        <x:v>No continuity adjustment</x:v>
      </x:c>
    </x:row>
    <x:row r="132" ht="27" customHeight="1">
      <x:c r="A132" s="8" t="n">
        <x:v>46307</x:v>
      </x:c>
      <x:c r="B132" s="2" t="str">
        <x:v>Cognex</x:v>
      </x:c>
      <x:c r="C132" s="2" t="str">
        <x:v>CGNX</x:v>
      </x:c>
      <x:c r="D132" s="8" t="n">
        <x:v>46307</x:v>
      </x:c>
      <x:c r="E132" s="19" t="n">
        <x:f>'Source Audit'!E132</x:f>
        <x:v>0</x:v>
      </x:c>
      <x:c r="F132" s="40" t="n">
        <x:f>'Source Audit'!F132</x:f>
        <x:v>1</x:v>
      </x:c>
      <x:c r="G132" s="11" t="str">
        <x:f>IF(AND(E132=0,F132=1,'Source Audit'!I132&lt;&gt;"Mismatch"),"No provider flag","Review required")</x:f>
        <x:v>No provider flag</x:v>
      </x:c>
      <x:c r="H132" s="2" t="str">
        <x:v>No continuity adjustment</x:v>
      </x:c>
    </x:row>
    <x:row r="133" ht="44" customHeight="1">
      <x:c r="A133" s="9" t="n">
        <x:v>46307</x:v>
      </x:c>
      <x:c r="B133" s="10" t="str">
        <x:v>Ouster</x:v>
      </x:c>
      <x:c r="C133" s="10" t="str">
        <x:v>OUST</x:v>
      </x:c>
      <x:c r="D133" s="9" t="n">
        <x:v>46307</x:v>
      </x:c>
      <x:c r="E133" s="18" t="n">
        <x:f>'Source Audit'!E133</x:f>
        <x:v>0</x:v>
      </x:c>
      <x:c r="F133" s="41" t="n">
        <x:f>'Source Audit'!F133</x:f>
        <x:v>1</x:v>
      </x:c>
      <x:c r="G133" s="12" t="str">
        <x:f>IF(AND(E133=0,F133=1,'Source Audit'!I133&lt;&gt;"Mismatch"),"No provider flag","Review required")</x:f>
        <x:v>No provider flag</x:v>
      </x:c>
      <x:c r="H133" s="16" t="str">
        <x:v>Approved provider MIC exception; no price adjustment</x:v>
      </x:c>
    </x:row>
    <x:row r="134" ht="27" customHeight="1">
      <x:c r="A134" s="8" t="n">
        <x:v>46307</x:v>
      </x:c>
      <x:c r="B134" s="2" t="str">
        <x:v>Hesai</x:v>
      </x:c>
      <x:c r="C134" s="2" t="str">
        <x:v>HSAI</x:v>
      </x:c>
      <x:c r="D134" s="8" t="n">
        <x:v>46307</x:v>
      </x:c>
      <x:c r="E134" s="19" t="n">
        <x:f>'Source Audit'!E134</x:f>
        <x:v>0</x:v>
      </x:c>
      <x:c r="F134" s="40" t="n">
        <x:f>'Source Audit'!F134</x:f>
        <x:v>1</x:v>
      </x:c>
      <x:c r="G134" s="11" t="str">
        <x:f>IF(AND(E134=0,F134=1,'Source Audit'!I134&lt;&gt;"Mismatch"),"No provider flag","Review required")</x:f>
        <x:v>No provider flag</x:v>
      </x:c>
      <x:c r="H134" s="2" t="str">
        <x:v>No continuity adjustment</x:v>
      </x:c>
    </x:row>
    <x:row r="135" ht="27" customHeight="1">
      <x:c r="A135" s="9" t="n">
        <x:v>46307</x:v>
      </x:c>
      <x:c r="B135" s="10" t="str">
        <x:v>Rockwell Automation</x:v>
      </x:c>
      <x:c r="C135" s="10" t="str">
        <x:v>ROK</x:v>
      </x:c>
      <x:c r="D135" s="9" t="n">
        <x:v>46307</x:v>
      </x:c>
      <x:c r="E135" s="18" t="n">
        <x:f>'Source Audit'!E135</x:f>
        <x:v>0</x:v>
      </x:c>
      <x:c r="F135" s="41" t="n">
        <x:f>'Source Audit'!F135</x:f>
        <x:v>1</x:v>
      </x:c>
      <x:c r="G135" s="12" t="str">
        <x:f>IF(AND(E135=0,F135=1,'Source Audit'!I135&lt;&gt;"Mismatch"),"No provider flag","Review required")</x:f>
        <x:v>No provider flag</x:v>
      </x:c>
      <x:c r="H135" s="10" t="str">
        <x:v>No continuity adjustment</x:v>
      </x:c>
    </x:row>
    <x:row r="136" ht="27" customHeight="1">
      <x:c r="A136" s="8" t="n">
        <x:v>46307</x:v>
      </x:c>
      <x:c r="B136" s="2" t="str">
        <x:v>Siemens</x:v>
      </x:c>
      <x:c r="C136" s="2" t="str">
        <x:v>SIE</x:v>
      </x:c>
      <x:c r="D136" s="8" t="n">
        <x:v>46307</x:v>
      </x:c>
      <x:c r="E136" s="19" t="n">
        <x:f>'Source Audit'!E136</x:f>
        <x:v>0</x:v>
      </x:c>
      <x:c r="F136" s="40" t="n">
        <x:f>'Source Audit'!F136</x:f>
        <x:v>1</x:v>
      </x:c>
      <x:c r="G136" s="11" t="str">
        <x:f>IF(AND(E136=0,F136=1,'Source Audit'!I136&lt;&gt;"Mismatch"),"No provider flag","Review required")</x:f>
        <x:v>No provider flag</x:v>
      </x:c>
      <x:c r="H136" s="2" t="str">
        <x:v>No continuity adjustment</x:v>
      </x:c>
    </x:row>
    <x:row r="137" ht="27" customHeight="1">
      <x:c r="A137" s="9" t="n">
        <x:v>46307</x:v>
      </x:c>
      <x:c r="B137" s="10" t="str">
        <x:v>NXP Semiconductors</x:v>
      </x:c>
      <x:c r="C137" s="10" t="str">
        <x:v>NXPI</x:v>
      </x:c>
      <x:c r="D137" s="9" t="n">
        <x:v>46307</x:v>
      </x:c>
      <x:c r="E137" s="18" t="n">
        <x:f>'Source Audit'!E137</x:f>
        <x:v>0</x:v>
      </x:c>
      <x:c r="F137" s="41" t="n">
        <x:f>'Source Audit'!F137</x:f>
        <x:v>1</x:v>
      </x:c>
      <x:c r="G137" s="12" t="str">
        <x:f>IF(AND(E137=0,F137=1,'Source Audit'!I137&lt;&gt;"Mismatch"),"No provider flag","Review required")</x:f>
        <x:v>No provider flag</x:v>
      </x:c>
      <x:c r="H137" s="10" t="str">
        <x:v>No continuity adjustment</x:v>
      </x:c>
    </x:row>
    <x:row r="138" ht="27" customHeight="1">
      <x:c r="A138" s="8" t="n">
        <x:v>46307</x:v>
      </x:c>
      <x:c r="B138" s="2" t="str">
        <x:v>Daifuku</x:v>
      </x:c>
      <x:c r="C138" s="2" t="str">
        <x:v>6383</x:v>
      </x:c>
      <x:c r="D138" s="8" t="n">
        <x:v>46304</x:v>
      </x:c>
      <x:c r="E138" s="19" t="n">
        <x:f>'Source Audit'!E138</x:f>
        <x:v>0</x:v>
      </x:c>
      <x:c r="F138" s="40" t="n">
        <x:f>'Source Audit'!F138</x:f>
        <x:v>1</x:v>
      </x:c>
      <x:c r="G138" s="11" t="str">
        <x:f>IF(AND(E138=0,F138=1,'Source Audit'!I138&lt;&gt;"Mismatch"),"No provider flag","Review required")</x:f>
        <x:v>No provider flag</x:v>
      </x:c>
      <x:c r="H138" s="2" t="str">
        <x:v>No continuity adjustment</x:v>
      </x:c>
    </x:row>
    <x:row r="139" ht="27" customHeight="1">
      <x:c r="A139" s="9" t="n">
        <x:v>46307</x:v>
      </x:c>
      <x:c r="B139" s="10" t="str">
        <x:v>Hexagon</x:v>
      </x:c>
      <x:c r="C139" s="10" t="str">
        <x:v>HEXA B</x:v>
      </x:c>
      <x:c r="D139" s="9" t="n">
        <x:v>46307</x:v>
      </x:c>
      <x:c r="E139" s="18" t="n">
        <x:f>'Source Audit'!E139</x:f>
        <x:v>0</x:v>
      </x:c>
      <x:c r="F139" s="41" t="n">
        <x:f>'Source Audit'!F139</x:f>
        <x:v>1</x:v>
      </x:c>
      <x:c r="G139" s="12" t="str">
        <x:f>IF(AND(E139=0,F139=1,'Source Audit'!I139&lt;&gt;"Mismatch"),"No provider flag","Review required")</x:f>
        <x:v>No provider flag</x:v>
      </x:c>
      <x:c r="H139" s="10" t="str">
        <x:v>No continuity adjustment</x:v>
      </x:c>
    </x:row>
    <x:row r="140" ht="27" customHeight="1">
      <x:c r="A140" s="8" t="n">
        <x:v>46307</x:v>
      </x:c>
      <x:c r="B140" s="2" t="str">
        <x:v>S&amp;P 500</x:v>
      </x:c>
      <x:c r="C140" s="2" t="str">
        <x:v>S&amp;P 500</x:v>
      </x:c>
      <x:c r="D140" s="8" t="n">
        <x:v>46307</x:v>
      </x:c>
      <x:c r="E140" s="19" t="n">
        <x:f>'Source Audit'!E140</x:f>
        <x:v>0</x:v>
      </x:c>
      <x:c r="F140" s="40" t="n">
        <x:f>'Source Audit'!F140</x:f>
        <x:v>1</x:v>
      </x:c>
      <x:c r="G140" s="11" t="str">
        <x:f>IF(AND(E140=0,F140=1,'Source Audit'!I140&lt;&gt;"Mismatch"),"No provider flag","Review required")</x:f>
        <x:v>No provider flag</x:v>
      </x:c>
      <x:c r="H140" s="2" t="str">
        <x:v>No continuity adjustment</x:v>
      </x:c>
    </x:row>
    <x:row r="141" ht="27" customHeight="1">
      <x:c r="A141" s="9" t="n">
        <x:v>46307</x:v>
      </x:c>
      <x:c r="B141" s="10" t="str">
        <x:v>Nasdaq Composite</x:v>
      </x:c>
      <x:c r="C141" s="10" t="str">
        <x:v>Nasdaq Composite</x:v>
      </x:c>
      <x:c r="D141" s="9" t="n">
        <x:v>46307</x:v>
      </x:c>
      <x:c r="E141" s="18" t="n">
        <x:f>'Source Audit'!E141</x:f>
        <x:v>0</x:v>
      </x:c>
      <x:c r="F141" s="41" t="n">
        <x:f>'Source Audit'!F141</x:f>
        <x:v>1</x:v>
      </x:c>
      <x:c r="G141" s="12" t="str">
        <x:f>IF(AND(E141=0,F141=1,'Source Audit'!I141&lt;&gt;"Mismatch"),"No provider flag","Review required")</x:f>
        <x:v>No provider flag</x:v>
      </x:c>
      <x:c r="H141" s="10" t="str">
        <x:v>No continuity adjustment</x:v>
      </x:c>
    </x:row>
    <x:row r="142" ht="27" customHeight="1">
      <x:c r="A142" s="8" t="n">
        <x:v>46308</x:v>
      </x:c>
      <x:c r="B142" s="2" t="str">
        <x:v>FANUC</x:v>
      </x:c>
      <x:c r="C142" s="2" t="str">
        <x:v>6954</x:v>
      </x:c>
      <x:c r="D142" s="8" t="n">
        <x:v>46308</x:v>
      </x:c>
      <x:c r="E142" s="19" t="n">
        <x:f>'Source Audit'!E142</x:f>
        <x:v>0</x:v>
      </x:c>
      <x:c r="F142" s="40" t="n">
        <x:f>'Source Audit'!F142</x:f>
        <x:v>1</x:v>
      </x:c>
      <x:c r="G142" s="11" t="str">
        <x:f>IF(AND(E142=0,F142=1,'Source Audit'!I142&lt;&gt;"Mismatch"),"No provider flag","Review required")</x:f>
        <x:v>No provider flag</x:v>
      </x:c>
      <x:c r="H142" s="2" t="str">
        <x:v>No continuity adjustment</x:v>
      </x:c>
    </x:row>
    <x:row r="143" ht="27" customHeight="1">
      <x:c r="A143" s="9" t="n">
        <x:v>46308</x:v>
      </x:c>
      <x:c r="B143" s="10" t="str">
        <x:v>Yaskawa Electric</x:v>
      </x:c>
      <x:c r="C143" s="10" t="str">
        <x:v>6506</x:v>
      </x:c>
      <x:c r="D143" s="9" t="n">
        <x:v>46308</x:v>
      </x:c>
      <x:c r="E143" s="18" t="n">
        <x:f>'Source Audit'!E143</x:f>
        <x:v>0</x:v>
      </x:c>
      <x:c r="F143" s="41" t="n">
        <x:f>'Source Audit'!F143</x:f>
        <x:v>1</x:v>
      </x:c>
      <x:c r="G143" s="12" t="str">
        <x:f>IF(AND(E143=0,F143=1,'Source Audit'!I143&lt;&gt;"Mismatch"),"No provider flag","Review required")</x:f>
        <x:v>No provider flag</x:v>
      </x:c>
      <x:c r="H143" s="10" t="str">
        <x:v>No continuity adjustment</x:v>
      </x:c>
    </x:row>
    <x:row r="144" ht="27" customHeight="1">
      <x:c r="A144" s="8" t="n">
        <x:v>46308</x:v>
      </x:c>
      <x:c r="B144" s="2" t="str">
        <x:v>Estun Automation</x:v>
      </x:c>
      <x:c r="C144" s="13" t="str">
        <x:v>002747</x:v>
      </x:c>
      <x:c r="D144" s="8" t="n">
        <x:v>46308</x:v>
      </x:c>
      <x:c r="E144" s="19" t="n">
        <x:f>'Source Audit'!E144</x:f>
        <x:v>0</x:v>
      </x:c>
      <x:c r="F144" s="40" t="n">
        <x:f>'Source Audit'!F144</x:f>
        <x:v>1</x:v>
      </x:c>
      <x:c r="G144" s="11" t="str">
        <x:f>IF(AND(E144=0,F144=1,'Source Audit'!I144&lt;&gt;"Mismatch"),"No provider flag","Review required")</x:f>
        <x:v>No provider flag</x:v>
      </x:c>
      <x:c r="H144" s="2" t="str">
        <x:v>No continuity adjustment</x:v>
      </x:c>
    </x:row>
    <x:row r="145" ht="27" customHeight="1">
      <x:c r="A145" s="9" t="n">
        <x:v>46308</x:v>
      </x:c>
      <x:c r="B145" s="10" t="str">
        <x:v>Teradyne</x:v>
      </x:c>
      <x:c r="C145" s="10" t="str">
        <x:v>TER</x:v>
      </x:c>
      <x:c r="D145" s="9" t="n">
        <x:v>46308</x:v>
      </x:c>
      <x:c r="E145" s="18" t="n">
        <x:f>'Source Audit'!E145</x:f>
        <x:v>0</x:v>
      </x:c>
      <x:c r="F145" s="41" t="n">
        <x:f>'Source Audit'!F145</x:f>
        <x:v>1</x:v>
      </x:c>
      <x:c r="G145" s="12" t="str">
        <x:f>IF(AND(E145=0,F145=1,'Source Audit'!I145&lt;&gt;"Mismatch"),"No provider flag","Review required")</x:f>
        <x:v>No provider flag</x:v>
      </x:c>
      <x:c r="H145" s="10" t="str">
        <x:v>No continuity adjustment</x:v>
      </x:c>
    </x:row>
    <x:row r="146" ht="27" customHeight="1">
      <x:c r="A146" s="8" t="n">
        <x:v>46308</x:v>
      </x:c>
      <x:c r="B146" s="2" t="str">
        <x:v>Nabtesco</x:v>
      </x:c>
      <x:c r="C146" s="2" t="str">
        <x:v>6268</x:v>
      </x:c>
      <x:c r="D146" s="8" t="n">
        <x:v>46308</x:v>
      </x:c>
      <x:c r="E146" s="19" t="n">
        <x:f>'Source Audit'!E146</x:f>
        <x:v>0</x:v>
      </x:c>
      <x:c r="F146" s="40" t="n">
        <x:f>'Source Audit'!F146</x:f>
        <x:v>1</x:v>
      </x:c>
      <x:c r="G146" s="11" t="str">
        <x:f>IF(AND(E146=0,F146=1,'Source Audit'!I146&lt;&gt;"Mismatch"),"No provider flag","Review required")</x:f>
        <x:v>No provider flag</x:v>
      </x:c>
      <x:c r="H146" s="2" t="str">
        <x:v>No continuity adjustment</x:v>
      </x:c>
    </x:row>
    <x:row r="147" ht="27" customHeight="1">
      <x:c r="A147" s="9" t="n">
        <x:v>46308</x:v>
      </x:c>
      <x:c r="B147" s="10" t="str">
        <x:v>Inovance</x:v>
      </x:c>
      <x:c r="C147" s="10" t="str">
        <x:v>300124</x:v>
      </x:c>
      <x:c r="D147" s="9" t="n">
        <x:v>46308</x:v>
      </x:c>
      <x:c r="E147" s="18" t="n">
        <x:f>'Source Audit'!E147</x:f>
        <x:v>0</x:v>
      </x:c>
      <x:c r="F147" s="41" t="n">
        <x:f>'Source Audit'!F147</x:f>
        <x:v>1</x:v>
      </x:c>
      <x:c r="G147" s="12" t="str">
        <x:f>IF(AND(E147=0,F147=1,'Source Audit'!I147&lt;&gt;"Mismatch"),"No provider flag","Review required")</x:f>
        <x:v>No provider flag</x:v>
      </x:c>
      <x:c r="H147" s="10" t="str">
        <x:v>No continuity adjustment</x:v>
      </x:c>
    </x:row>
    <x:row r="148" ht="27" customHeight="1">
      <x:c r="A148" s="8" t="n">
        <x:v>46308</x:v>
      </x:c>
      <x:c r="B148" s="2" t="str">
        <x:v>Keyence</x:v>
      </x:c>
      <x:c r="C148" s="2" t="str">
        <x:v>6861</x:v>
      </x:c>
      <x:c r="D148" s="8" t="n">
        <x:v>46308</x:v>
      </x:c>
      <x:c r="E148" s="19" t="n">
        <x:f>'Source Audit'!E148</x:f>
        <x:v>0</x:v>
      </x:c>
      <x:c r="F148" s="40" t="n">
        <x:f>'Source Audit'!F148</x:f>
        <x:v>1</x:v>
      </x:c>
      <x:c r="G148" s="11" t="str">
        <x:f>IF(AND(E148=0,F148=1,'Source Audit'!I148&lt;&gt;"Mismatch"),"No provider flag","Review required")</x:f>
        <x:v>No provider flag</x:v>
      </x:c>
      <x:c r="H148" s="2" t="str">
        <x:v>No continuity adjustment</x:v>
      </x:c>
    </x:row>
    <x:row r="149" ht="27" customHeight="1">
      <x:c r="A149" s="9" t="n">
        <x:v>46308</x:v>
      </x:c>
      <x:c r="B149" s="10" t="str">
        <x:v>Cognex</x:v>
      </x:c>
      <x:c r="C149" s="10" t="str">
        <x:v>CGNX</x:v>
      </x:c>
      <x:c r="D149" s="9" t="n">
        <x:v>46308</x:v>
      </x:c>
      <x:c r="E149" s="18" t="n">
        <x:f>'Source Audit'!E149</x:f>
        <x:v>0</x:v>
      </x:c>
      <x:c r="F149" s="41" t="n">
        <x:f>'Source Audit'!F149</x:f>
        <x:v>1</x:v>
      </x:c>
      <x:c r="G149" s="12" t="str">
        <x:f>IF(AND(E149=0,F149=1,'Source Audit'!I149&lt;&gt;"Mismatch"),"No provider flag","Review required")</x:f>
        <x:v>No provider flag</x:v>
      </x:c>
      <x:c r="H149" s="10" t="str">
        <x:v>No continuity adjustment</x:v>
      </x:c>
    </x:row>
    <x:row r="150" ht="44" customHeight="1">
      <x:c r="A150" s="8" t="n">
        <x:v>46308</x:v>
      </x:c>
      <x:c r="B150" s="2" t="str">
        <x:v>Ouster</x:v>
      </x:c>
      <x:c r="C150" s="2" t="str">
        <x:v>OUST</x:v>
      </x:c>
      <x:c r="D150" s="8" t="n">
        <x:v>46308</x:v>
      </x:c>
      <x:c r="E150" s="19" t="n">
        <x:f>'Source Audit'!E150</x:f>
        <x:v>0</x:v>
      </x:c>
      <x:c r="F150" s="40" t="n">
        <x:f>'Source Audit'!F150</x:f>
        <x:v>1</x:v>
      </x:c>
      <x:c r="G150" s="11" t="str">
        <x:f>IF(AND(E150=0,F150=1,'Source Audit'!I150&lt;&gt;"Mismatch"),"No provider flag","Review required")</x:f>
        <x:v>No provider flag</x:v>
      </x:c>
      <x:c r="H150" s="14" t="str">
        <x:v>Approved provider MIC exception; no price adjustment</x:v>
      </x:c>
    </x:row>
    <x:row r="151" ht="27" customHeight="1">
      <x:c r="A151" s="9" t="n">
        <x:v>46308</x:v>
      </x:c>
      <x:c r="B151" s="10" t="str">
        <x:v>Hesai</x:v>
      </x:c>
      <x:c r="C151" s="10" t="str">
        <x:v>HSAI</x:v>
      </x:c>
      <x:c r="D151" s="9" t="n">
        <x:v>46308</x:v>
      </x:c>
      <x:c r="E151" s="18" t="n">
        <x:f>'Source Audit'!E151</x:f>
        <x:v>0</x:v>
      </x:c>
      <x:c r="F151" s="41" t="n">
        <x:f>'Source Audit'!F151</x:f>
        <x:v>1</x:v>
      </x:c>
      <x:c r="G151" s="12" t="str">
        <x:f>IF(AND(E151=0,F151=1,'Source Audit'!I151&lt;&gt;"Mismatch"),"No provider flag","Review required")</x:f>
        <x:v>No provider flag</x:v>
      </x:c>
      <x:c r="H151" s="10" t="str">
        <x:v>No continuity adjustment</x:v>
      </x:c>
    </x:row>
    <x:row r="152" ht="27" customHeight="1">
      <x:c r="A152" s="8" t="n">
        <x:v>46308</x:v>
      </x:c>
      <x:c r="B152" s="2" t="str">
        <x:v>Rockwell Automation</x:v>
      </x:c>
      <x:c r="C152" s="2" t="str">
        <x:v>ROK</x:v>
      </x:c>
      <x:c r="D152" s="8" t="n">
        <x:v>46308</x:v>
      </x:c>
      <x:c r="E152" s="19" t="n">
        <x:f>'Source Audit'!E152</x:f>
        <x:v>0</x:v>
      </x:c>
      <x:c r="F152" s="40" t="n">
        <x:f>'Source Audit'!F152</x:f>
        <x:v>1</x:v>
      </x:c>
      <x:c r="G152" s="11" t="str">
        <x:f>IF(AND(E152=0,F152=1,'Source Audit'!I152&lt;&gt;"Mismatch"),"No provider flag","Review required")</x:f>
        <x:v>No provider flag</x:v>
      </x:c>
      <x:c r="H152" s="2" t="str">
        <x:v>No continuity adjustment</x:v>
      </x:c>
    </x:row>
    <x:row r="153" ht="27" customHeight="1">
      <x:c r="A153" s="9" t="n">
        <x:v>46308</x:v>
      </x:c>
      <x:c r="B153" s="10" t="str">
        <x:v>Siemens</x:v>
      </x:c>
      <x:c r="C153" s="10" t="str">
        <x:v>SIE</x:v>
      </x:c>
      <x:c r="D153" s="9" t="n">
        <x:v>46308</x:v>
      </x:c>
      <x:c r="E153" s="18" t="n">
        <x:f>'Source Audit'!E153</x:f>
        <x:v>0</x:v>
      </x:c>
      <x:c r="F153" s="41" t="n">
        <x:f>'Source Audit'!F153</x:f>
        <x:v>1</x:v>
      </x:c>
      <x:c r="G153" s="12" t="str">
        <x:f>IF(AND(E153=0,F153=1,'Source Audit'!I153&lt;&gt;"Mismatch"),"No provider flag","Review required")</x:f>
        <x:v>No provider flag</x:v>
      </x:c>
      <x:c r="H153" s="10" t="str">
        <x:v>No continuity adjustment</x:v>
      </x:c>
    </x:row>
    <x:row r="154" ht="27" customHeight="1">
      <x:c r="A154" s="8" t="n">
        <x:v>46308</x:v>
      </x:c>
      <x:c r="B154" s="2" t="str">
        <x:v>NXP Semiconductors</x:v>
      </x:c>
      <x:c r="C154" s="2" t="str">
        <x:v>NXPI</x:v>
      </x:c>
      <x:c r="D154" s="8" t="n">
        <x:v>46308</x:v>
      </x:c>
      <x:c r="E154" s="19" t="n">
        <x:f>'Source Audit'!E154</x:f>
        <x:v>0</x:v>
      </x:c>
      <x:c r="F154" s="40" t="n">
        <x:f>'Source Audit'!F154</x:f>
        <x:v>1</x:v>
      </x:c>
      <x:c r="G154" s="11" t="str">
        <x:f>IF(AND(E154=0,F154=1,'Source Audit'!I154&lt;&gt;"Mismatch"),"No provider flag","Review required")</x:f>
        <x:v>No provider flag</x:v>
      </x:c>
      <x:c r="H154" s="2" t="str">
        <x:v>No continuity adjustment</x:v>
      </x:c>
    </x:row>
    <x:row r="155" ht="27" customHeight="1">
      <x:c r="A155" s="9" t="n">
        <x:v>46308</x:v>
      </x:c>
      <x:c r="B155" s="10" t="str">
        <x:v>Daifuku</x:v>
      </x:c>
      <x:c r="C155" s="10" t="str">
        <x:v>6383</x:v>
      </x:c>
      <x:c r="D155" s="9" t="n">
        <x:v>46308</x:v>
      </x:c>
      <x:c r="E155" s="18" t="n">
        <x:f>'Source Audit'!E155</x:f>
        <x:v>0</x:v>
      </x:c>
      <x:c r="F155" s="41" t="n">
        <x:f>'Source Audit'!F155</x:f>
        <x:v>1</x:v>
      </x:c>
      <x:c r="G155" s="12" t="str">
        <x:f>IF(AND(E155=0,F155=1,'Source Audit'!I155&lt;&gt;"Mismatch"),"No provider flag","Review required")</x:f>
        <x:v>No provider flag</x:v>
      </x:c>
      <x:c r="H155" s="10" t="str">
        <x:v>No continuity adjustment</x:v>
      </x:c>
    </x:row>
    <x:row r="156" ht="27" customHeight="1">
      <x:c r="A156" s="8" t="n">
        <x:v>46308</x:v>
      </x:c>
      <x:c r="B156" s="2" t="str">
        <x:v>Hexagon</x:v>
      </x:c>
      <x:c r="C156" s="2" t="str">
        <x:v>HEXA B</x:v>
      </x:c>
      <x:c r="D156" s="8" t="n">
        <x:v>46308</x:v>
      </x:c>
      <x:c r="E156" s="19" t="n">
        <x:f>'Source Audit'!E156</x:f>
        <x:v>0</x:v>
      </x:c>
      <x:c r="F156" s="40" t="n">
        <x:f>'Source Audit'!F156</x:f>
        <x:v>1</x:v>
      </x:c>
      <x:c r="G156" s="11" t="str">
        <x:f>IF(AND(E156=0,F156=1,'Source Audit'!I156&lt;&gt;"Mismatch"),"No provider flag","Review required")</x:f>
        <x:v>No provider flag</x:v>
      </x:c>
      <x:c r="H156" s="2" t="str">
        <x:v>No continuity adjustment</x:v>
      </x:c>
    </x:row>
    <x:row r="157" ht="27" customHeight="1">
      <x:c r="A157" s="9" t="n">
        <x:v>46308</x:v>
      </x:c>
      <x:c r="B157" s="10" t="str">
        <x:v>S&amp;P 500</x:v>
      </x:c>
      <x:c r="C157" s="10" t="str">
        <x:v>S&amp;P 500</x:v>
      </x:c>
      <x:c r="D157" s="9" t="n">
        <x:v>46308</x:v>
      </x:c>
      <x:c r="E157" s="18" t="n">
        <x:f>'Source Audit'!E157</x:f>
        <x:v>0</x:v>
      </x:c>
      <x:c r="F157" s="41" t="n">
        <x:f>'Source Audit'!F157</x:f>
        <x:v>1</x:v>
      </x:c>
      <x:c r="G157" s="12" t="str">
        <x:f>IF(AND(E157=0,F157=1,'Source Audit'!I157&lt;&gt;"Mismatch"),"No provider flag","Review required")</x:f>
        <x:v>No provider flag</x:v>
      </x:c>
      <x:c r="H157" s="10" t="str">
        <x:v>No continuity adjustment</x:v>
      </x:c>
    </x:row>
    <x:row r="158" ht="27" customHeight="1">
      <x:c r="A158" s="8" t="n">
        <x:v>46308</x:v>
      </x:c>
      <x:c r="B158" s="2" t="str">
        <x:v>Nasdaq Composite</x:v>
      </x:c>
      <x:c r="C158" s="2" t="str">
        <x:v>Nasdaq Composite</x:v>
      </x:c>
      <x:c r="D158" s="8" t="n">
        <x:v>46308</x:v>
      </x:c>
      <x:c r="E158" s="19" t="n">
        <x:f>'Source Audit'!E158</x:f>
        <x:v>0</x:v>
      </x:c>
      <x:c r="F158" s="40" t="n">
        <x:f>'Source Audit'!F158</x:f>
        <x:v>1</x:v>
      </x:c>
      <x:c r="G158" s="11" t="str">
        <x:f>IF(AND(E158=0,F158=1,'Source Audit'!I158&lt;&gt;"Mismatch"),"No provider flag","Review required")</x:f>
        <x:v>No provider flag</x:v>
      </x:c>
      <x:c r="H158" s="2" t="str">
        <x:v>No continuity adjustment</x:v>
      </x:c>
    </x:row>
  </x:sheetData>
  <x:mergeCells>
    <x:mergeCell ref="A2:D2"/>
    <x:mergeCell ref="A3:H3"/>
  </x:mergeCells>
  <x:pageMargins left="0.7" right="0.7" top="0.75" bottom="0.75" header="0.3" footer="0.3"/>
  <x:tableParts count="1">
    <x:tablePart xmlns:r="http://schemas.openxmlformats.org/officeDocument/2006/relationships" r:id="Rb09f9bf442494a14"/>
  </x:tableParts>
</x:worksheet>
</file>