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fbaa90f44641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437e955c5274fda"/>
    <x:sheet xmlns:r="http://schemas.openxmlformats.org/officeDocument/2006/relationships" name="Prices" sheetId="2" r:id="Ree12527931bb481f"/>
    <x:sheet xmlns:r="http://schemas.openxmlformats.org/officeDocument/2006/relationships" name="Returns and Contributions" sheetId="3" r:id="Rf2422b7d20234e3e"/>
    <x:sheet xmlns:r="http://schemas.openxmlformats.org/officeDocument/2006/relationships" name="Source Audit" sheetId="4" r:id="R1d2f15a332e14d43"/>
    <x:sheet xmlns:r="http://schemas.openxmlformats.org/officeDocument/2006/relationships" name="Corporate Actions" sheetId="5" r:id="Rcdbb2266a93b49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f9a084273b403c" /><Relationship Type="http://schemas.openxmlformats.org/officeDocument/2006/relationships/theme" Target="/xl/theme/theme1.xml" Id="R595e618cf4424854" /><Relationship Type="http://schemas.openxmlformats.org/officeDocument/2006/relationships/sharedStrings" Target="/xl/sharedStrings.xml" Id="R1463a000e9234746" /><Relationship Type="http://schemas.openxmlformats.org/officeDocument/2006/relationships/worksheet" Target="/xl/worksheets/sheet1.xml" Id="R8437e955c5274fda" /><Relationship Type="http://schemas.openxmlformats.org/officeDocument/2006/relationships/worksheet" Target="/xl/worksheets/sheet2.xml" Id="Ree12527931bb481f" /><Relationship Type="http://schemas.openxmlformats.org/officeDocument/2006/relationships/worksheet" Target="/xl/worksheets/sheet3.xml" Id="Rf2422b7d20234e3e" /><Relationship Type="http://schemas.openxmlformats.org/officeDocument/2006/relationships/worksheet" Target="/xl/worksheets/sheet4.xml" Id="R1d2f15a332e14d43" /><Relationship Type="http://schemas.openxmlformats.org/officeDocument/2006/relationships/worksheet" Target="/xl/worksheets/sheet5.xml" Id="Rcdbb2266a93b4998" /></Relationships>
</file>

<file path=xl/tables/table1.xml><?xml version="1.0" encoding="utf-8"?>
<x:table xmlns:x="http://schemas.openxmlformats.org/spreadsheetml/2006/main" id="1" name="SummaryHistory" displayName="SummaryHistory" ref="A5:T23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311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275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311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311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11178679d4e46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eef5d0423e34c1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8c3949a75bb47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457bf2abf7a4fd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0571c29aa1d4e59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  <x:row r="19" ht="40" customHeight="1">
      <x:c r="A19" s="9" t="n">
        <x:v>46315</x:v>
      </x:c>
      <x:c r="B19" s="18" t="n">
        <x:f>B18*(1+SUM('Returns and Contributions'!F201:F215))</x:f>
        <x:v>921.489181665232</x:v>
      </x:c>
      <x:c r="C19" s="21" t="n">
        <x:f>B19/B18-1</x:f>
        <x:v>0.004073485585846637</x:v>
      </x:c>
      <x:c r="D19" s="21" t="n">
        <x:f>B19/$B$6-1</x:f>
        <x:v>-0.07851081833476803</x:v>
      </x:c>
      <x:c r="E19" s="18" t="n">
        <x:f>1000*'Prices'!H242/'Prices'!I242</x:f>
        <x:v>1006.0158221862793</x:v>
      </x:c>
      <x:c r="F19" s="21" t="n">
        <x:f>E19/E18-1</x:f>
        <x:v>0.0028397824393782134</x:v>
      </x:c>
      <x:c r="G19" s="21" t="n">
        <x:f>E19/1000-1</x:f>
        <x:v>0.006015822186279163</x:v>
      </x:c>
      <x:c r="H19" s="18" t="n">
        <x:f>1000*'Prices'!H243/'Prices'!I243</x:f>
        <x:v>983.3735478537286</x:v>
      </x:c>
      <x:c r="I19" s="21" t="n">
        <x:f>H19/H18-1</x:f>
        <x:v>-0.0002296669070886992</x:v>
      </x:c>
      <x:c r="J19" s="21" t="n">
        <x:f>H19/1000-1</x:f>
        <x:v>-0.016626452146271342</x:v>
      </x:c>
      <x:c r="K19" s="25" t="n">
        <x:f>(C19-F19)*100</x:f>
        <x:v>0.12337031464684234</x:v>
      </x:c>
      <x:c r="L19" s="25" t="n">
        <x:f>(C19-I19)*100</x:f>
        <x:v>0.4303152492935336</x:v>
      </x:c>
      <x:c r="M19" s="23" t="n">
        <x:f>SUM('Returns and Contributions'!G201:G215)</x:f>
        <x:v>0.9999999999999997</x:v>
      </x:c>
      <x:c r="N19" s="27" t="n">
        <x:f>SUM('Returns and Contributions'!F201:F215)-C19</x:f>
        <x:v>-8.673617379884035e-17</x:v>
      </x:c>
      <x:c r="O19" s="10" t="n">
        <x:v>0</x:v>
      </x:c>
      <x:c r="P19" s="32" t="str">
        <x:f>IF(COUNTIF('Source Audit'!I227:I243,"Mismatch")=0,IF(COUNTIF('Source Audit'!I227:I243,"Approved MIC exception")&gt;0,"Passed / exception","Passed"),"Failed")</x:f>
        <x:v>Passed / exception</x:v>
      </x:c>
      <x:c r="Q19" s="30" t="n">
        <x:v>46316.48309181713</x:v>
      </x:c>
      <x:c r="R19" s="27" t="n">
        <x:f>B19-1000*('Prices'!H227/'Prices'!H6+'Prices'!H228/'Prices'!H7+'Prices'!H229/'Prices'!H8+'Prices'!H230/'Prices'!H9+'Prices'!H231/'Prices'!H10+'Prices'!H232/'Prices'!H11+'Prices'!H233/'Prices'!H12+'Prices'!H234/'Prices'!H13+'Prices'!H235/'Prices'!H14+'Prices'!H236/'Prices'!H15+'Prices'!H237/'Prices'!H16+'Prices'!H238/'Prices'!H17+'Prices'!H239/'Prices'!H18+'Prices'!H240/'Prices'!H19+'Prices'!H241/'Prices'!H20)/15</x:f>
        <x:v>0</x:v>
      </x:c>
      <x:c r="S19" s="25" t="n">
        <x:f>(D19-G19)*100</x:f>
        <x:v>-8.45266405210472</x:v>
      </x:c>
      <x:c r="T19" s="25" t="n">
        <x:f>(D19-J19)*100</x:f>
        <x:v>-6.188436618849669</x:v>
      </x:c>
    </x:row>
    <x:row r="20" ht="40" customHeight="1">
      <x:c r="A20" s="8" t="n">
        <x:v>46316</x:v>
      </x:c>
      <x:c r="B20" s="19" t="n">
        <x:f>B19*(1+SUM('Returns and Contributions'!F216:F230))</x:f>
        <x:v>926.4814343915143</x:v>
      </x:c>
      <x:c r="C20" s="20" t="n">
        <x:f>B20/B19-1</x:f>
        <x:v>0.005417592333814225</x:v>
      </x:c>
      <x:c r="D20" s="20" t="n">
        <x:f>B20/$B$6-1</x:f>
        <x:v>-0.07351856560848569</x:v>
      </x:c>
      <x:c r="E20" s="19" t="n">
        <x:f>1000*'Prices'!H259/'Prices'!I259</x:f>
        <x:v>1011.8333778998102</x:v>
      </x:c>
      <x:c r="F20" s="20" t="n">
        <x:f>E20/E19-1</x:f>
        <x:v>0.005782767611833606</x:v>
      </x:c>
      <x:c r="G20" s="20" t="n">
        <x:f>E20/1000-1</x:f>
        <x:v>0.011833377899810316</x:v>
      </x:c>
      <x:c r="H20" s="19" t="n">
        <x:f>1000*'Prices'!H260/'Prices'!I260</x:f>
        <x:v>993.7205701557947</x:v>
      </x:c>
      <x:c r="I20" s="20" t="n">
        <x:f>H20/H19-1</x:f>
        <x:v>0.010521965253843746</x:v>
      </x:c>
      <x:c r="J20" s="20" t="n">
        <x:f>H20/1000-1</x:f>
        <x:v>-0.006279429844205264</x:v>
      </x:c>
      <x:c r="K20" s="24" t="n">
        <x:f>(C20-F20)*100</x:f>
        <x:v>-0.036517527801938066</x:v>
      </x:c>
      <x:c r="L20" s="24" t="n">
        <x:f>(C20-I20)*100</x:f>
        <x:v>-0.5104372920029521</x:v>
      </x:c>
      <x:c r="M20" s="22" t="n">
        <x:f>SUM('Returns and Contributions'!G216:G230)</x:f>
        <x:v>0.9999999999999996</x:v>
      </x:c>
      <x:c r="N20" s="28" t="n">
        <x:f>SUM('Returns and Contributions'!F216:F230)-C20</x:f>
        <x:v>-8.673617379884035e-17</x:v>
      </x:c>
      <x:c r="O20" s="2" t="n">
        <x:v>0</x:v>
      </x:c>
      <x:c r="P20" s="31" t="str">
        <x:f>IF(COUNTIF('Source Audit'!I244:I260,"Mismatch")=0,IF(COUNTIF('Source Audit'!I244:I260,"Approved MIC exception")&gt;0,"Passed / exception","Passed"),"Failed")</x:f>
        <x:v>Passed / exception</x:v>
      </x:c>
      <x:c r="Q20" s="29" t="n">
        <x:v>46317.48358800926</x:v>
      </x:c>
      <x:c r="R20" s="28" t="n">
        <x:f>B20-1000*('Prices'!H244/'Prices'!H6+'Prices'!H245/'Prices'!H7+'Prices'!H246/'Prices'!H8+'Prices'!H247/'Prices'!H9+'Prices'!H248/'Prices'!H10+'Prices'!H249/'Prices'!H11+'Prices'!H250/'Prices'!H12+'Prices'!H251/'Prices'!H13+'Prices'!H252/'Prices'!H14+'Prices'!H253/'Prices'!H15+'Prices'!H254/'Prices'!H16+'Prices'!H255/'Prices'!H17+'Prices'!H256/'Prices'!H18+'Prices'!H257/'Prices'!H19+'Prices'!H258/'Prices'!H20)/15</x:f>
        <x:v>3.410605131648481e-13</x:v>
      </x:c>
      <x:c r="S20" s="24" t="n">
        <x:f>(D20-G20)*100</x:f>
        <x:v>-8.5351943508296</x:v>
      </x:c>
      <x:c r="T20" s="24" t="n">
        <x:f>(D20-J20)*100</x:f>
        <x:v>-6.723913576428043</x:v>
      </x:c>
    </x:row>
    <x:row r="21" ht="40" customHeight="1">
      <x:c r="A21" s="9" t="n">
        <x:v>46317</x:v>
      </x:c>
      <x:c r="B21" s="18" t="n">
        <x:f>B20*(1+SUM('Returns and Contributions'!F231:F245))</x:f>
        <x:v>891.5035175925743</x:v>
      </x:c>
      <x:c r="C21" s="21" t="n">
        <x:f>B21/B20-1</x:f>
        <x:v>-0.03775349996291344</x:v>
      </x:c>
      <x:c r="D21" s="21" t="n">
        <x:f>B21/$B$6-1</x:f>
        <x:v>-0.10849648240742571</x:v>
      </x:c>
      <x:c r="E21" s="18" t="n">
        <x:f>1000*'Prices'!H276/'Prices'!I276</x:f>
        <x:v>999.606075823882</x:v>
      </x:c>
      <x:c r="F21" s="21" t="n">
        <x:f>E21/E20-1</x:f>
        <x:v>-0.012084303940741337</x:v>
      </x:c>
      <x:c r="G21" s="21" t="n">
        <x:f>E21/1000-1</x:f>
        <x:v>-0.0003939241761180545</x:v>
      </x:c>
      <x:c r="H21" s="18" t="n">
        <x:f>1000*'Prices'!H277/'Prices'!I277</x:f>
        <x:v>967.8941172816172</x:v>
      </x:c>
      <x:c r="I21" s="21" t="n">
        <x:f>H21/H20-1</x:f>
        <x:v>-0.025989653077351904</x:v>
      </x:c>
      <x:c r="J21" s="21" t="n">
        <x:f>H21/1000-1</x:f>
        <x:v>-0.03210588271838277</x:v>
      </x:c>
      <x:c r="K21" s="25" t="n">
        <x:f>(C21-F21)*100</x:f>
        <x:v>-2.5669196022172103</x:v>
      </x:c>
      <x:c r="L21" s="25" t="n">
        <x:f>(C21-I21)*100</x:f>
        <x:v>-1.1763846885561535</x:v>
      </x:c>
      <x:c r="M21" s="23" t="n">
        <x:f>SUM('Returns and Contributions'!G231:G245)</x:f>
        <x:v>0.9999999999999996</x:v>
      </x:c>
      <x:c r="N21" s="27" t="n">
        <x:f>SUM('Returns and Contributions'!F231:F245)-C21</x:f>
        <x:v>-3.469446951953614e-17</x:v>
      </x:c>
      <x:c r="O21" s="10" t="n">
        <x:v>0</x:v>
      </x:c>
      <x:c r="P21" s="32" t="str">
        <x:f>IF(COUNTIF('Source Audit'!I261:I277,"Mismatch")=0,IF(COUNTIF('Source Audit'!I261:I277,"Approved MIC exception")&gt;0,"Passed / exception","Passed"),"Failed")</x:f>
        <x:v>Passed / exception</x:v>
      </x:c>
      <x:c r="Q21" s="30" t="n">
        <x:v>46318.47745435185</x:v>
      </x:c>
      <x:c r="R21" s="27" t="n">
        <x:f>B21-1000*('Prices'!H261/'Prices'!H6+'Prices'!H262/'Prices'!H7+'Prices'!H263/'Prices'!H8+'Prices'!H264/'Prices'!H9+'Prices'!H265/'Prices'!H10+'Prices'!H266/'Prices'!H11+'Prices'!H267/'Prices'!H12+'Prices'!H268/'Prices'!H13+'Prices'!H269/'Prices'!H14+'Prices'!H270/'Prices'!H15+'Prices'!H271/'Prices'!H16+'Prices'!H272/'Prices'!H17+'Prices'!H273/'Prices'!H18+'Prices'!H274/'Prices'!H19+'Prices'!H275/'Prices'!H20)/15</x:f>
        <x:v>3.410605131648481e-13</x:v>
      </x:c>
      <x:c r="S21" s="25" t="n">
        <x:f>(D21-G21)*100</x:f>
        <x:v>-10.810255823130765</x:v>
      </x:c>
      <x:c r="T21" s="25" t="n">
        <x:f>(D21-J21)*100</x:f>
        <x:v>-7.639059968904293</x:v>
      </x:c>
    </x:row>
    <x:row r="22" ht="40" customHeight="1">
      <x:c r="A22" s="8" t="n">
        <x:v>46318</x:v>
      </x:c>
      <x:c r="B22" s="19" t="n">
        <x:f>B21*(1+SUM('Returns and Contributions'!F246:F260))</x:f>
        <x:v>909.9828648645001</x:v>
      </x:c>
      <x:c r="C22" s="20" t="n">
        <x:f>B22/B21-1</x:f>
        <x:v>0.020728294288538063</x:v>
      </x:c>
      <x:c r="D22" s="20" t="n">
        <x:f>B22/$B$6-1</x:f>
        <x:v>-0.09001713513549991</x:v>
      </x:c>
      <x:c r="E22" s="19" t="n">
        <x:f>1000*'Prices'!H293/'Prices'!I293</x:f>
        <x:v>994.4211466845802</x:v>
      </x:c>
      <x:c r="F22" s="20" t="n">
        <x:f>E22/E21-1</x:f>
        <x:v>-0.005186972413136148</x:v>
      </x:c>
      <x:c r="G22" s="20" t="n">
        <x:f>E22/1000-1</x:f>
        <x:v>-0.005578853315419741</x:v>
      </x:c>
      <x:c r="H22" s="19" t="n">
        <x:f>1000*'Prices'!H294/'Prices'!I294</x:f>
        <x:v>965.902438015618</x:v>
      </x:c>
      <x:c r="I22" s="20" t="n">
        <x:f>H22/H21-1</x:f>
        <x:v>-0.002057744985156984</x:v>
      </x:c>
      <x:c r="J22" s="20" t="n">
        <x:f>H22/1000-1</x:f>
        <x:v>-0.03409756198438196</x:v>
      </x:c>
      <x:c r="K22" s="24" t="n">
        <x:f>(C22-F22)*100</x:f>
        <x:v>2.591526670167421</x:v>
      </x:c>
      <x:c r="L22" s="24" t="n">
        <x:f>(C22-I22)*100</x:f>
        <x:v>2.2786039273695047</x:v>
      </x:c>
      <x:c r="M22" s="22" t="n">
        <x:f>SUM('Returns and Contributions'!G246:G260)</x:f>
        <x:v>0.9999999999999996</x:v>
      </x:c>
      <x:c r="N22" s="28" t="n">
        <x:f>SUM('Returns and Contributions'!F246:F260)-C22</x:f>
        <x:v>3.469446951953614e-17</x:v>
      </x:c>
      <x:c r="O22" s="2" t="n">
        <x:v>0</x:v>
      </x:c>
      <x:c r="P22" s="31" t="str">
        <x:f>IF(COUNTIF('Source Audit'!I278:I294,"Mismatch")=0,IF(COUNTIF('Source Audit'!I278:I294,"Approved MIC exception")&gt;0,"Passed / exception","Passed"),"Failed")</x:f>
        <x:v>Passed / exception</x:v>
      </x:c>
      <x:c r="Q22" s="29" t="n">
        <x:v>46319.47854819444</x:v>
      </x:c>
      <x:c r="R22" s="28" t="n">
        <x:f>B22-1000*('Prices'!H278/'Prices'!H6+'Prices'!H279/'Prices'!H7+'Prices'!H280/'Prices'!H8+'Prices'!H281/'Prices'!H9+'Prices'!H282/'Prices'!H10+'Prices'!H283/'Prices'!H11+'Prices'!H284/'Prices'!H12+'Prices'!H285/'Prices'!H13+'Prices'!H286/'Prices'!H14+'Prices'!H287/'Prices'!H15+'Prices'!H288/'Prices'!H16+'Prices'!H289/'Prices'!H17+'Prices'!H290/'Prices'!H18+'Prices'!H291/'Prices'!H19+'Prices'!H292/'Prices'!H20)/15</x:f>
        <x:v>2.2737367544323206e-13</x:v>
      </x:c>
      <x:c r="S22" s="24" t="n">
        <x:f>(D22-G22)*100</x:f>
        <x:v>-8.443828182008017</x:v>
      </x:c>
      <x:c r="T22" s="24" t="n">
        <x:f>(D22-J22)*100</x:f>
        <x:v>-5.591957315111795</x:v>
      </x:c>
    </x:row>
    <x:row r="23" ht="40" customHeight="1">
      <x:c r="A23" s="9" t="n">
        <x:v>46321</x:v>
      </x:c>
      <x:c r="B23" s="18" t="n">
        <x:f>B22*(1+SUM('Returns and Contributions'!F261:F275))</x:f>
        <x:v>923.7297152894076</x:v>
      </x:c>
      <x:c r="C23" s="21" t="n">
        <x:f>B23/B22-1</x:f>
        <x:v>0.015106713495044222</x:v>
      </x:c>
      <x:c r="D23" s="21" t="n">
        <x:f>B23/$B$6-1</x:f>
        <x:v>-0.07627028471059238</x:v>
      </x:c>
      <x:c r="E23" s="18" t="n">
        <x:f>1000*'Prices'!H310/'Prices'!I310</x:f>
        <x:v>1001.3461249991848</x:v>
      </x:c>
      <x:c r="F23" s="21" t="n">
        <x:f>E23/E22-1</x:f>
        <x:v>0.006963828492276836</x:v>
      </x:c>
      <x:c r="G23" s="21" t="n">
        <x:f>E23/1000-1</x:f>
        <x:v>0.00134612499918485</x:v>
      </x:c>
      <x:c r="H23" s="18" t="n">
        <x:f>1000*'Prices'!H311/'Prices'!I311</x:f>
        <x:v>973.8677669968068</x:v>
      </x:c>
      <x:c r="I23" s="21" t="n">
        <x:f>H23/H22-1</x:f>
        <x:v>0.008246515038882185</x:v>
      </x:c>
      <x:c r="J23" s="21" t="n">
        <x:f>H23/1000-1</x:f>
        <x:v>-0.026132233003193117</x:v>
      </x:c>
      <x:c r="K23" s="25" t="n">
        <x:f>(C23-F23)*100</x:f>
        <x:v>0.8142885002767386</x:v>
      </x:c>
      <x:c r="L23" s="25" t="n">
        <x:f>(C23-I23)*100</x:f>
        <x:v>0.6860198456162037</x:v>
      </x:c>
      <x:c r="M23" s="23" t="n">
        <x:f>SUM('Returns and Contributions'!G261:G275)</x:f>
        <x:v>0.9999999999999996</x:v>
      </x:c>
      <x:c r="N23" s="27" t="n">
        <x:f>SUM('Returns and Contributions'!F261:F275)-C23</x:f>
        <x:v>-7.979727989493313e-17</x:v>
      </x:c>
      <x:c r="O23" s="10" t="n">
        <x:v>0</x:v>
      </x:c>
      <x:c r="P23" s="32" t="str">
        <x:f>IF(COUNTIF('Source Audit'!I295:I311,"Mismatch")=0,IF(COUNTIF('Source Audit'!I295:I311,"Approved MIC exception")&gt;0,"Passed / exception","Passed"),"Failed")</x:f>
        <x:v>Passed / exception</x:v>
      </x:c>
      <x:c r="Q23" s="30" t="n">
        <x:v>46322.47680405092</x:v>
      </x:c>
      <x:c r="R23" s="27" t="n">
        <x:f>B23-1000*('Prices'!H295/'Prices'!H6+'Prices'!H296/'Prices'!H7+'Prices'!H297/'Prices'!H8+'Prices'!H298/'Prices'!H9+'Prices'!H299/'Prices'!H10+'Prices'!H300/'Prices'!H11+'Prices'!H301/'Prices'!H12+'Prices'!H302/'Prices'!H13+'Prices'!H303/'Prices'!H14+'Prices'!H304/'Prices'!H15+'Prices'!H305/'Prices'!H16+'Prices'!H306/'Prices'!H17+'Prices'!H307/'Prices'!H18+'Prices'!H308/'Prices'!H19+'Prices'!H309/'Prices'!H20)/15</x:f>
        <x:v>3.410605131648481e-13</x:v>
      </x:c>
      <x:c r="S23" s="25" t="n">
        <x:f>(D23-G23)*100</x:f>
        <x:v>-7.761640970977723</x:v>
      </x:c>
      <x:c r="T23" s="25" t="n">
        <x:f>(D23-J23)*100</x:f>
        <x:v>-5.013805170739927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611178679d4e46a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10" t="str">
        <x:v>6954.T</x:v>
      </x:c>
      <x:c r="E227" s="10" t="str">
        <x:v>XJPX</x:v>
      </x:c>
      <x:c r="F227" s="10" t="str">
        <x:v>JPY</x:v>
      </x:c>
      <x:c r="G227" s="33" t="n">
        <x:f>H210</x:f>
        <x:v>5946</x:v>
      </x:c>
      <x:c r="H227" s="35" t="n">
        <x:v>5788</x:v>
      </x:c>
      <x:c r="I227" s="35" t="n">
        <x:v>6127</x:v>
      </x:c>
      <x:c r="J227" s="9" t="n">
        <x:v>46315</x:v>
      </x:c>
      <x:c r="K227" s="10" t="str">
        <x:v>Open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2" t="str">
        <x:v>6506.T</x:v>
      </x:c>
      <x:c r="E228" s="2" t="str">
        <x:v>XJPX</x:v>
      </x:c>
      <x:c r="F228" s="2" t="str">
        <x:v>JPY</x:v>
      </x:c>
      <x:c r="G228" s="17" t="n">
        <x:f>H211</x:f>
        <x:v>4373</x:v>
      </x:c>
      <x:c r="H228" s="34" t="n">
        <x:v>4277</x:v>
      </x:c>
      <x:c r="I228" s="34" t="n">
        <x:v>4779</x:v>
      </x:c>
      <x:c r="J228" s="8" t="n">
        <x:v>46315</x:v>
      </x:c>
      <x:c r="K228" s="2" t="str">
        <x:v>Open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10" t="str">
        <x:v>002747.SZ</x:v>
      </x:c>
      <x:c r="E229" s="10" t="str">
        <x:v>XSHE</x:v>
      </x:c>
      <x:c r="F229" s="10" t="str">
        <x:v>CNY</x:v>
      </x:c>
      <x:c r="G229" s="33" t="n">
        <x:f>H212</x:f>
        <x:v>25.38</x:v>
      </x:c>
      <x:c r="H229" s="35" t="n">
        <x:v>26.3</x:v>
      </x:c>
      <x:c r="I229" s="35" t="n">
        <x:v>28.22</x:v>
      </x:c>
      <x:c r="J229" s="9" t="n">
        <x:v>46315</x:v>
      </x:c>
      <x:c r="K229" s="10" t="str">
        <x:v>Open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2" t="str">
        <x:v>TER</x:v>
      </x:c>
      <x:c r="E230" s="2" t="str">
        <x:v>XNAS</x:v>
      </x:c>
      <x:c r="F230" s="2" t="str">
        <x:v>USD</x:v>
      </x:c>
      <x:c r="G230" s="17" t="n">
        <x:f>H213</x:f>
        <x:v>335.53</x:v>
      </x:c>
      <x:c r="H230" s="34" t="n">
        <x:v>336.59</x:v>
      </x:c>
      <x:c r="I230" s="34" t="n">
        <x:v>415.79</x:v>
      </x:c>
      <x:c r="J230" s="8" t="n">
        <x:v>46315</x:v>
      </x:c>
      <x:c r="K230" s="2" t="str">
        <x:v>Open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10" t="str">
        <x:v>6268.T</x:v>
      </x:c>
      <x:c r="E231" s="10" t="str">
        <x:v>XJPX</x:v>
      </x:c>
      <x:c r="F231" s="10" t="str">
        <x:v>JPY</x:v>
      </x:c>
      <x:c r="G231" s="33" t="n">
        <x:f>H214</x:f>
        <x:v>4458</x:v>
      </x:c>
      <x:c r="H231" s="35" t="n">
        <x:v>4293</x:v>
      </x:c>
      <x:c r="I231" s="35" t="n">
        <x:v>4975</x:v>
      </x:c>
      <x:c r="J231" s="9" t="n">
        <x:v>46315</x:v>
      </x:c>
      <x:c r="K231" s="10" t="str">
        <x:v>Open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2" t="str">
        <x:v>300124.SZ</x:v>
      </x:c>
      <x:c r="E232" s="2" t="str">
        <x:v>XSHE</x:v>
      </x:c>
      <x:c r="F232" s="2" t="str">
        <x:v>CNY</x:v>
      </x:c>
      <x:c r="G232" s="17" t="n">
        <x:f>H215</x:f>
        <x:v>50.79</x:v>
      </x:c>
      <x:c r="H232" s="34" t="n">
        <x:v>50.8</x:v>
      </x:c>
      <x:c r="I232" s="34" t="n">
        <x:v>51.9</x:v>
      </x:c>
      <x:c r="J232" s="8" t="n">
        <x:v>46315</x:v>
      </x:c>
      <x:c r="K232" s="2" t="str">
        <x:v>Open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10" t="str">
        <x:v>6861.T</x:v>
      </x:c>
      <x:c r="E233" s="10" t="str">
        <x:v>XJPX</x:v>
      </x:c>
      <x:c r="F233" s="10" t="str">
        <x:v>JPY</x:v>
      </x:c>
      <x:c r="G233" s="33" t="n">
        <x:f>H216</x:f>
        <x:v>81410</x:v>
      </x:c>
      <x:c r="H233" s="35" t="n">
        <x:v>80910</x:v>
      </x:c>
      <x:c r="I233" s="35" t="n">
        <x:v>81200</x:v>
      </x:c>
      <x:c r="J233" s="9" t="n">
        <x:v>46315</x:v>
      </x:c>
      <x:c r="K233" s="10" t="str">
        <x:v>Open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2" t="str">
        <x:v>CGNX</x:v>
      </x:c>
      <x:c r="E234" s="2" t="str">
        <x:v>XNAS</x:v>
      </x:c>
      <x:c r="F234" s="2" t="str">
        <x:v>USD</x:v>
      </x:c>
      <x:c r="G234" s="17" t="n">
        <x:f>H217</x:f>
        <x:v>55.16</x:v>
      </x:c>
      <x:c r="H234" s="34" t="n">
        <x:v>56.77</x:v>
      </x:c>
      <x:c r="I234" s="34" t="n">
        <x:v>62.22</x:v>
      </x:c>
      <x:c r="J234" s="8" t="n">
        <x:v>46315</x:v>
      </x:c>
      <x:c r="K234" s="2" t="str">
        <x:v>Open</x:v>
      </x:c>
    </x:row>
    <x:row r="235" ht="27" customHeight="1">
      <x:c r="A235" s="9" t="n">
        <x:v>46315</x:v>
      </x:c>
      <x:c r="B235" s="10" t="str">
        <x:v>Ouster</x:v>
      </x:c>
      <x:c r="C235" s="10" t="str">
        <x:v>OUST</x:v>
      </x:c>
      <x:c r="D235" s="10" t="str">
        <x:v>OUST</x:v>
      </x:c>
      <x:c r="E235" s="10" t="str">
        <x:v>XNAS</x:v>
      </x:c>
      <x:c r="F235" s="10" t="str">
        <x:v>USD</x:v>
      </x:c>
      <x:c r="G235" s="33" t="n">
        <x:f>H218</x:f>
        <x:v>28.86</x:v>
      </x:c>
      <x:c r="H235" s="35" t="n">
        <x:v>29.65</x:v>
      </x:c>
      <x:c r="I235" s="35" t="n">
        <x:v>40.87</x:v>
      </x:c>
      <x:c r="J235" s="9" t="n">
        <x:v>46315</x:v>
      </x:c>
      <x:c r="K235" s="10" t="str">
        <x:v>Open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2" t="str">
        <x:v>HSAI</x:v>
      </x:c>
      <x:c r="E236" s="2" t="str">
        <x:v>XNAS</x:v>
      </x:c>
      <x:c r="F236" s="2" t="str">
        <x:v>USD</x:v>
      </x:c>
      <x:c r="G236" s="17" t="n">
        <x:f>H219</x:f>
        <x:v>12.92</x:v>
      </x:c>
      <x:c r="H236" s="34" t="n">
        <x:v>13.99</x:v>
      </x:c>
      <x:c r="I236" s="34" t="n">
        <x:v>15.93</x:v>
      </x:c>
      <x:c r="J236" s="8" t="n">
        <x:v>46315</x:v>
      </x:c>
      <x:c r="K236" s="2" t="str">
        <x:v>Open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10" t="str">
        <x:v>ROK</x:v>
      </x:c>
      <x:c r="E237" s="10" t="str">
        <x:v>XNYS</x:v>
      </x:c>
      <x:c r="F237" s="10" t="str">
        <x:v>USD</x:v>
      </x:c>
      <x:c r="G237" s="33" t="n">
        <x:f>H220</x:f>
        <x:v>424.47</x:v>
      </x:c>
      <x:c r="H237" s="35" t="n">
        <x:v>427.77</x:v>
      </x:c>
      <x:c r="I237" s="35" t="n">
        <x:v>442.45</x:v>
      </x:c>
      <x:c r="J237" s="9" t="n">
        <x:v>46315</x:v>
      </x:c>
      <x:c r="K237" s="10" t="str">
        <x:v>Open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2" t="str">
        <x:v>SIE.DE</x:v>
      </x:c>
      <x:c r="E238" s="2" t="str">
        <x:v>XETR</x:v>
      </x:c>
      <x:c r="F238" s="2" t="str">
        <x:v>EUR</x:v>
      </x:c>
      <x:c r="G238" s="17" t="n">
        <x:f>H221</x:f>
        <x:v>266.2</x:v>
      </x:c>
      <x:c r="H238" s="34" t="n">
        <x:v>260.25</x:v>
      </x:c>
      <x:c r="I238" s="34" t="n">
        <x:v>271.9</x:v>
      </x:c>
      <x:c r="J238" s="8" t="n">
        <x:v>46315</x:v>
      </x:c>
      <x:c r="K238" s="2" t="str">
        <x:v>Open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10" t="str">
        <x:v>NXPI</x:v>
      </x:c>
      <x:c r="E239" s="10" t="str">
        <x:v>XNAS</x:v>
      </x:c>
      <x:c r="F239" s="10" t="str">
        <x:v>USD</x:v>
      </x:c>
      <x:c r="G239" s="33" t="n">
        <x:f>H222</x:f>
        <x:v>230.19</x:v>
      </x:c>
      <x:c r="H239" s="35" t="n">
        <x:v>237.6</x:v>
      </x:c>
      <x:c r="I239" s="35" t="n">
        <x:v>239.19</x:v>
      </x:c>
      <x:c r="J239" s="9" t="n">
        <x:v>46315</x:v>
      </x:c>
      <x:c r="K239" s="10" t="str">
        <x:v>Open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2" t="str">
        <x:v>6383.T</x:v>
      </x:c>
      <x:c r="E240" s="2" t="str">
        <x:v>XJPX</x:v>
      </x:c>
      <x:c r="F240" s="2" t="str">
        <x:v>JPY</x:v>
      </x:c>
      <x:c r="G240" s="17" t="n">
        <x:f>H223</x:f>
        <x:v>5434</x:v>
      </x:c>
      <x:c r="H240" s="34" t="n">
        <x:v>5347</x:v>
      </x:c>
      <x:c r="I240" s="34" t="n">
        <x:v>5832</x:v>
      </x:c>
      <x:c r="J240" s="8" t="n">
        <x:v>46315</x:v>
      </x:c>
      <x:c r="K240" s="2" t="str">
        <x:v>Open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10" t="str">
        <x:v>HEXA-B.ST</x:v>
      </x:c>
      <x:c r="E241" s="10" t="str">
        <x:v>XSTO</x:v>
      </x:c>
      <x:c r="F241" s="10" t="str">
        <x:v>SEK</x:v>
      </x:c>
      <x:c r="G241" s="33" t="n">
        <x:f>H224</x:f>
        <x:v>105.05</x:v>
      </x:c>
      <x:c r="H241" s="35" t="n">
        <x:v>104.25</x:v>
      </x:c>
      <x:c r="I241" s="35" t="n">
        <x:v>99.02</x:v>
      </x:c>
      <x:c r="J241" s="9" t="n">
        <x:v>46315</x:v>
      </x:c>
      <x:c r="K241" s="10" t="str">
        <x:v>Open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2" t="str">
        <x:v>GSPC.INDX</x:v>
      </x:c>
      <x:c r="E242" s="2" t="str">
        <x:v>INDX</x:v>
      </x:c>
      <x:c r="F242" s="2" t="str">
        <x:v>USD</x:v>
      </x:c>
      <x:c r="G242" s="17" t="n">
        <x:f>H225</x:f>
        <x:v>7690.73</x:v>
      </x:c>
      <x:c r="H242" s="34" t="n">
        <x:v>7712.57</x:v>
      </x:c>
      <x:c r="I242" s="34" t="n">
        <x:v>7666.45</x:v>
      </x:c>
      <x:c r="J242" s="8" t="n">
        <x:v>46315</x:v>
      </x:c>
      <x:c r="K242" s="2" t="str">
        <x:v>Open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10" t="str">
        <x:v>IXIC.INDX</x:v>
      </x:c>
      <x:c r="E243" s="10" t="str">
        <x:v>INDX</x:v>
      </x:c>
      <x:c r="F243" s="10" t="str">
        <x:v>USD</x:v>
      </x:c>
      <x:c r="G243" s="33" t="n">
        <x:f>H226</x:f>
        <x:v>26430.8867</x:v>
      </x:c>
      <x:c r="H243" s="35" t="n">
        <x:v>26424.8164</x:v>
      </x:c>
      <x:c r="I243" s="35" t="n">
        <x:v>26871.5957</x:v>
      </x:c>
      <x:c r="J243" s="9" t="n">
        <x:v>46315</x:v>
      </x:c>
      <x:c r="K243" s="10" t="str">
        <x:v>Open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2" t="str">
        <x:v>6954.T</x:v>
      </x:c>
      <x:c r="E244" s="2" t="str">
        <x:v>XJPX</x:v>
      </x:c>
      <x:c r="F244" s="2" t="str">
        <x:v>JPY</x:v>
      </x:c>
      <x:c r="G244" s="17" t="n">
        <x:f>H227</x:f>
        <x:v>5788</x:v>
      </x:c>
      <x:c r="H244" s="34" t="n">
        <x:v>5823</x:v>
      </x:c>
      <x:c r="I244" s="34" t="n">
        <x:v>6127</x:v>
      </x:c>
      <x:c r="J244" s="8" t="n">
        <x:v>46316</x:v>
      </x:c>
      <x:c r="K244" s="2" t="str">
        <x:v>Open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10" t="str">
        <x:v>6506.T</x:v>
      </x:c>
      <x:c r="E245" s="10" t="str">
        <x:v>XJPX</x:v>
      </x:c>
      <x:c r="F245" s="10" t="str">
        <x:v>JPY</x:v>
      </x:c>
      <x:c r="G245" s="33" t="n">
        <x:f>H228</x:f>
        <x:v>4277</x:v>
      </x:c>
      <x:c r="H245" s="35" t="n">
        <x:v>4204</x:v>
      </x:c>
      <x:c r="I245" s="35" t="n">
        <x:v>4779</x:v>
      </x:c>
      <x:c r="J245" s="9" t="n">
        <x:v>46316</x:v>
      </x:c>
      <x:c r="K245" s="10" t="str">
        <x:v>Open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2" t="str">
        <x:v>002747.SZ</x:v>
      </x:c>
      <x:c r="E246" s="2" t="str">
        <x:v>XSHE</x:v>
      </x:c>
      <x:c r="F246" s="2" t="str">
        <x:v>CNY</x:v>
      </x:c>
      <x:c r="G246" s="17" t="n">
        <x:f>H229</x:f>
        <x:v>26.3</x:v>
      </x:c>
      <x:c r="H246" s="34" t="n">
        <x:v>26.08</x:v>
      </x:c>
      <x:c r="I246" s="34" t="n">
        <x:v>28.22</x:v>
      </x:c>
      <x:c r="J246" s="8" t="n">
        <x:v>46316</x:v>
      </x:c>
      <x:c r="K246" s="2" t="str">
        <x:v>Open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10" t="str">
        <x:v>TER</x:v>
      </x:c>
      <x:c r="E247" s="10" t="str">
        <x:v>XNAS</x:v>
      </x:c>
      <x:c r="F247" s="10" t="str">
        <x:v>USD</x:v>
      </x:c>
      <x:c r="G247" s="33" t="n">
        <x:f>H230</x:f>
        <x:v>336.59</x:v>
      </x:c>
      <x:c r="H247" s="35" t="n">
        <x:v>345.49</x:v>
      </x:c>
      <x:c r="I247" s="35" t="n">
        <x:v>415.79</x:v>
      </x:c>
      <x:c r="J247" s="9" t="n">
        <x:v>46316</x:v>
      </x:c>
      <x:c r="K247" s="10" t="str">
        <x:v>Open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2" t="str">
        <x:v>6268.T</x:v>
      </x:c>
      <x:c r="E248" s="2" t="str">
        <x:v>XJPX</x:v>
      </x:c>
      <x:c r="F248" s="2" t="str">
        <x:v>JPY</x:v>
      </x:c>
      <x:c r="G248" s="17" t="n">
        <x:f>H231</x:f>
        <x:v>4293</x:v>
      </x:c>
      <x:c r="H248" s="34" t="n">
        <x:v>4357</x:v>
      </x:c>
      <x:c r="I248" s="34" t="n">
        <x:v>4975</x:v>
      </x:c>
      <x:c r="J248" s="8" t="n">
        <x:v>46316</x:v>
      </x:c>
      <x:c r="K248" s="2" t="str">
        <x:v>Open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10" t="str">
        <x:v>300124.SZ</x:v>
      </x:c>
      <x:c r="E249" s="10" t="str">
        <x:v>XSHE</x:v>
      </x:c>
      <x:c r="F249" s="10" t="str">
        <x:v>CNY</x:v>
      </x:c>
      <x:c r="G249" s="33" t="n">
        <x:f>H232</x:f>
        <x:v>50.8</x:v>
      </x:c>
      <x:c r="H249" s="35" t="n">
        <x:v>49.9</x:v>
      </x:c>
      <x:c r="I249" s="35" t="n">
        <x:v>51.9</x:v>
      </x:c>
      <x:c r="J249" s="9" t="n">
        <x:v>46316</x:v>
      </x:c>
      <x:c r="K249" s="10" t="str">
        <x:v>Open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2" t="str">
        <x:v>6861.T</x:v>
      </x:c>
      <x:c r="E250" s="2" t="str">
        <x:v>XJPX</x:v>
      </x:c>
      <x:c r="F250" s="2" t="str">
        <x:v>JPY</x:v>
      </x:c>
      <x:c r="G250" s="17" t="n">
        <x:f>H233</x:f>
        <x:v>80910</x:v>
      </x:c>
      <x:c r="H250" s="34" t="n">
        <x:v>80860</x:v>
      </x:c>
      <x:c r="I250" s="34" t="n">
        <x:v>81200</x:v>
      </x:c>
      <x:c r="J250" s="8" t="n">
        <x:v>46316</x:v>
      </x:c>
      <x:c r="K250" s="2" t="str">
        <x:v>Open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10" t="str">
        <x:v>CGNX</x:v>
      </x:c>
      <x:c r="E251" s="10" t="str">
        <x:v>XNAS</x:v>
      </x:c>
      <x:c r="F251" s="10" t="str">
        <x:v>USD</x:v>
      </x:c>
      <x:c r="G251" s="33" t="n">
        <x:f>H234</x:f>
        <x:v>56.77</x:v>
      </x:c>
      <x:c r="H251" s="35" t="n">
        <x:v>58.05</x:v>
      </x:c>
      <x:c r="I251" s="35" t="n">
        <x:v>62.22</x:v>
      </x:c>
      <x:c r="J251" s="9" t="n">
        <x:v>46316</x:v>
      </x:c>
      <x:c r="K251" s="10" t="str">
        <x:v>Open</x:v>
      </x:c>
    </x:row>
    <x:row r="252" ht="27" customHeight="1">
      <x:c r="A252" s="8" t="n">
        <x:v>46316</x:v>
      </x:c>
      <x:c r="B252" s="2" t="str">
        <x:v>Ouster</x:v>
      </x:c>
      <x:c r="C252" s="2" t="str">
        <x:v>OUST</x:v>
      </x:c>
      <x:c r="D252" s="2" t="str">
        <x:v>OUST</x:v>
      </x:c>
      <x:c r="E252" s="2" t="str">
        <x:v>XNAS</x:v>
      </x:c>
      <x:c r="F252" s="2" t="str">
        <x:v>USD</x:v>
      </x:c>
      <x:c r="G252" s="17" t="n">
        <x:f>H235</x:f>
        <x:v>29.65</x:v>
      </x:c>
      <x:c r="H252" s="34" t="n">
        <x:v>30.31</x:v>
      </x:c>
      <x:c r="I252" s="34" t="n">
        <x:v>40.87</x:v>
      </x:c>
      <x:c r="J252" s="8" t="n">
        <x:v>46316</x:v>
      </x:c>
      <x:c r="K252" s="2" t="str">
        <x:v>Open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10" t="str">
        <x:v>HSAI</x:v>
      </x:c>
      <x:c r="E253" s="10" t="str">
        <x:v>XNAS</x:v>
      </x:c>
      <x:c r="F253" s="10" t="str">
        <x:v>USD</x:v>
      </x:c>
      <x:c r="G253" s="33" t="n">
        <x:f>H236</x:f>
        <x:v>13.99</x:v>
      </x:c>
      <x:c r="H253" s="35" t="n">
        <x:v>13.19</x:v>
      </x:c>
      <x:c r="I253" s="35" t="n">
        <x:v>15.93</x:v>
      </x:c>
      <x:c r="J253" s="9" t="n">
        <x:v>46316</x:v>
      </x:c>
      <x:c r="K253" s="10" t="str">
        <x:v>Open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2" t="str">
        <x:v>ROK</x:v>
      </x:c>
      <x:c r="E254" s="2" t="str">
        <x:v>XNYS</x:v>
      </x:c>
      <x:c r="F254" s="2" t="str">
        <x:v>USD</x:v>
      </x:c>
      <x:c r="G254" s="17" t="n">
        <x:f>H237</x:f>
        <x:v>427.77</x:v>
      </x:c>
      <x:c r="H254" s="34" t="n">
        <x:v>438.51</x:v>
      </x:c>
      <x:c r="I254" s="34" t="n">
        <x:v>442.45</x:v>
      </x:c>
      <x:c r="J254" s="8" t="n">
        <x:v>46316</x:v>
      </x:c>
      <x:c r="K254" s="2" t="str">
        <x:v>Open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10" t="str">
        <x:v>SIE.DE</x:v>
      </x:c>
      <x:c r="E255" s="10" t="str">
        <x:v>XETR</x:v>
      </x:c>
      <x:c r="F255" s="10" t="str">
        <x:v>EUR</x:v>
      </x:c>
      <x:c r="G255" s="33" t="n">
        <x:f>H238</x:f>
        <x:v>260.25</x:v>
      </x:c>
      <x:c r="H255" s="35" t="n">
        <x:v>266.75</x:v>
      </x:c>
      <x:c r="I255" s="35" t="n">
        <x:v>271.9</x:v>
      </x:c>
      <x:c r="J255" s="9" t="n">
        <x:v>46316</x:v>
      </x:c>
      <x:c r="K255" s="10" t="str">
        <x:v>Open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2" t="str">
        <x:v>NXPI</x:v>
      </x:c>
      <x:c r="E256" s="2" t="str">
        <x:v>XNAS</x:v>
      </x:c>
      <x:c r="F256" s="2" t="str">
        <x:v>USD</x:v>
      </x:c>
      <x:c r="G256" s="17" t="n">
        <x:f>H239</x:f>
        <x:v>237.6</x:v>
      </x:c>
      <x:c r="H256" s="34" t="n">
        <x:v>242.36</x:v>
      </x:c>
      <x:c r="I256" s="34" t="n">
        <x:v>239.19</x:v>
      </x:c>
      <x:c r="J256" s="8" t="n">
        <x:v>46316</x:v>
      </x:c>
      <x:c r="K256" s="2" t="str">
        <x:v>Open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10" t="str">
        <x:v>6383.T</x:v>
      </x:c>
      <x:c r="E257" s="10" t="str">
        <x:v>XJPX</x:v>
      </x:c>
      <x:c r="F257" s="10" t="str">
        <x:v>JPY</x:v>
      </x:c>
      <x:c r="G257" s="33" t="n">
        <x:f>H240</x:f>
        <x:v>5347</x:v>
      </x:c>
      <x:c r="H257" s="35" t="n">
        <x:v>5445</x:v>
      </x:c>
      <x:c r="I257" s="35" t="n">
        <x:v>5832</x:v>
      </x:c>
      <x:c r="J257" s="9" t="n">
        <x:v>46316</x:v>
      </x:c>
      <x:c r="K257" s="10" t="str">
        <x:v>Open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2" t="str">
        <x:v>HEXA-B.ST</x:v>
      </x:c>
      <x:c r="E258" s="2" t="str">
        <x:v>XSTO</x:v>
      </x:c>
      <x:c r="F258" s="2" t="str">
        <x:v>SEK</x:v>
      </x:c>
      <x:c r="G258" s="17" t="n">
        <x:f>H241</x:f>
        <x:v>104.25</x:v>
      </x:c>
      <x:c r="H258" s="34" t="n">
        <x:v>104.7</x:v>
      </x:c>
      <x:c r="I258" s="34" t="n">
        <x:v>99.02</x:v>
      </x:c>
      <x:c r="J258" s="8" t="n">
        <x:v>46316</x:v>
      </x:c>
      <x:c r="K258" s="2" t="str">
        <x:v>Open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10" t="str">
        <x:v>GSPC.INDX</x:v>
      </x:c>
      <x:c r="E259" s="10" t="str">
        <x:v>INDX</x:v>
      </x:c>
      <x:c r="F259" s="10" t="str">
        <x:v>USD</x:v>
      </x:c>
      <x:c r="G259" s="33" t="n">
        <x:f>H242</x:f>
        <x:v>7712.57</x:v>
      </x:c>
      <x:c r="H259" s="35" t="n">
        <x:v>7757.17</x:v>
      </x:c>
      <x:c r="I259" s="35" t="n">
        <x:v>7666.45</x:v>
      </x:c>
      <x:c r="J259" s="9" t="n">
        <x:v>46316</x:v>
      </x:c>
      <x:c r="K259" s="10" t="str">
        <x:v>Open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2" t="str">
        <x:v>IXIC.INDX</x:v>
      </x:c>
      <x:c r="E260" s="2" t="str">
        <x:v>INDX</x:v>
      </x:c>
      <x:c r="F260" s="2" t="str">
        <x:v>USD</x:v>
      </x:c>
      <x:c r="G260" s="17" t="n">
        <x:f>H243</x:f>
        <x:v>26424.8164</x:v>
      </x:c>
      <x:c r="H260" s="34" t="n">
        <x:v>26702.8574</x:v>
      </x:c>
      <x:c r="I260" s="34" t="n">
        <x:v>26871.5957</x:v>
      </x:c>
      <x:c r="J260" s="8" t="n">
        <x:v>46316</x:v>
      </x:c>
      <x:c r="K260" s="2" t="str">
        <x:v>Open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10" t="str">
        <x:v>6954.T</x:v>
      </x:c>
      <x:c r="E261" s="10" t="str">
        <x:v>XJPX</x:v>
      </x:c>
      <x:c r="F261" s="10" t="str">
        <x:v>JPY</x:v>
      </x:c>
      <x:c r="G261" s="33" t="n">
        <x:f>H244</x:f>
        <x:v>5823</x:v>
      </x:c>
      <x:c r="H261" s="35" t="n">
        <x:v>5624</x:v>
      </x:c>
      <x:c r="I261" s="35" t="n">
        <x:v>6127</x:v>
      </x:c>
      <x:c r="J261" s="9" t="n">
        <x:v>46317</x:v>
      </x:c>
      <x:c r="K261" s="10" t="str">
        <x:v>Open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2" t="str">
        <x:v>6506.T</x:v>
      </x:c>
      <x:c r="E262" s="2" t="str">
        <x:v>XJPX</x:v>
      </x:c>
      <x:c r="F262" s="2" t="str">
        <x:v>JPY</x:v>
      </x:c>
      <x:c r="G262" s="17" t="n">
        <x:f>H245</x:f>
        <x:v>4204</x:v>
      </x:c>
      <x:c r="H262" s="34" t="n">
        <x:v>4033</x:v>
      </x:c>
      <x:c r="I262" s="34" t="n">
        <x:v>4779</x:v>
      </x:c>
      <x:c r="J262" s="8" t="n">
        <x:v>46317</x:v>
      </x:c>
      <x:c r="K262" s="2" t="str">
        <x:v>Open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10" t="str">
        <x:v>002747.SZ</x:v>
      </x:c>
      <x:c r="E263" s="10" t="str">
        <x:v>XSHE</x:v>
      </x:c>
      <x:c r="F263" s="10" t="str">
        <x:v>CNY</x:v>
      </x:c>
      <x:c r="G263" s="33" t="n">
        <x:f>H246</x:f>
        <x:v>26.08</x:v>
      </x:c>
      <x:c r="H263" s="35" t="n">
        <x:v>26.53</x:v>
      </x:c>
      <x:c r="I263" s="35" t="n">
        <x:v>28.22</x:v>
      </x:c>
      <x:c r="J263" s="9" t="n">
        <x:v>46317</x:v>
      </x:c>
      <x:c r="K263" s="10" t="str">
        <x:v>Open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2" t="str">
        <x:v>TER</x:v>
      </x:c>
      <x:c r="E264" s="2" t="str">
        <x:v>XNAS</x:v>
      </x:c>
      <x:c r="F264" s="2" t="str">
        <x:v>USD</x:v>
      </x:c>
      <x:c r="G264" s="17" t="n">
        <x:f>H247</x:f>
        <x:v>345.49</x:v>
      </x:c>
      <x:c r="H264" s="34" t="n">
        <x:v>308.75</x:v>
      </x:c>
      <x:c r="I264" s="34" t="n">
        <x:v>415.79</x:v>
      </x:c>
      <x:c r="J264" s="8" t="n">
        <x:v>46317</x:v>
      </x:c>
      <x:c r="K264" s="2" t="str">
        <x:v>Open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10" t="str">
        <x:v>6268.T</x:v>
      </x:c>
      <x:c r="E265" s="10" t="str">
        <x:v>XJPX</x:v>
      </x:c>
      <x:c r="F265" s="10" t="str">
        <x:v>JPY</x:v>
      </x:c>
      <x:c r="G265" s="33" t="n">
        <x:f>H248</x:f>
        <x:v>4357</x:v>
      </x:c>
      <x:c r="H265" s="35" t="n">
        <x:v>4166</x:v>
      </x:c>
      <x:c r="I265" s="35" t="n">
        <x:v>4975</x:v>
      </x:c>
      <x:c r="J265" s="9" t="n">
        <x:v>46317</x:v>
      </x:c>
      <x:c r="K265" s="10" t="str">
        <x:v>Open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2" t="str">
        <x:v>300124.SZ</x:v>
      </x:c>
      <x:c r="E266" s="2" t="str">
        <x:v>XSHE</x:v>
      </x:c>
      <x:c r="F266" s="2" t="str">
        <x:v>CNY</x:v>
      </x:c>
      <x:c r="G266" s="17" t="n">
        <x:f>H249</x:f>
        <x:v>49.9</x:v>
      </x:c>
      <x:c r="H266" s="34" t="n">
        <x:v>49.91</x:v>
      </x:c>
      <x:c r="I266" s="34" t="n">
        <x:v>51.9</x:v>
      </x:c>
      <x:c r="J266" s="8" t="n">
        <x:v>46317</x:v>
      </x:c>
      <x:c r="K266" s="2" t="str">
        <x:v>Open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10" t="str">
        <x:v>6861.T</x:v>
      </x:c>
      <x:c r="E267" s="10" t="str">
        <x:v>XJPX</x:v>
      </x:c>
      <x:c r="F267" s="10" t="str">
        <x:v>JPY</x:v>
      </x:c>
      <x:c r="G267" s="33" t="n">
        <x:f>H250</x:f>
        <x:v>80860</x:v>
      </x:c>
      <x:c r="H267" s="35" t="n">
        <x:v>80360</x:v>
      </x:c>
      <x:c r="I267" s="35" t="n">
        <x:v>81200</x:v>
      </x:c>
      <x:c r="J267" s="9" t="n">
        <x:v>46317</x:v>
      </x:c>
      <x:c r="K267" s="10" t="str">
        <x:v>Open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2" t="str">
        <x:v>CGNX</x:v>
      </x:c>
      <x:c r="E268" s="2" t="str">
        <x:v>XNAS</x:v>
      </x:c>
      <x:c r="F268" s="2" t="str">
        <x:v>USD</x:v>
      </x:c>
      <x:c r="G268" s="17" t="n">
        <x:f>H251</x:f>
        <x:v>58.05</x:v>
      </x:c>
      <x:c r="H268" s="34" t="n">
        <x:v>54.6</x:v>
      </x:c>
      <x:c r="I268" s="34" t="n">
        <x:v>62.22</x:v>
      </x:c>
      <x:c r="J268" s="8" t="n">
        <x:v>46317</x:v>
      </x:c>
      <x:c r="K268" s="2" t="str">
        <x:v>Open</x:v>
      </x:c>
    </x:row>
    <x:row r="269" ht="27" customHeight="1">
      <x:c r="A269" s="9" t="n">
        <x:v>46317</x:v>
      </x:c>
      <x:c r="B269" s="10" t="str">
        <x:v>Ouster</x:v>
      </x:c>
      <x:c r="C269" s="10" t="str">
        <x:v>OUST</x:v>
      </x:c>
      <x:c r="D269" s="10" t="str">
        <x:v>OUST</x:v>
      </x:c>
      <x:c r="E269" s="10" t="str">
        <x:v>XNAS</x:v>
      </x:c>
      <x:c r="F269" s="10" t="str">
        <x:v>USD</x:v>
      </x:c>
      <x:c r="G269" s="33" t="n">
        <x:f>H252</x:f>
        <x:v>30.31</x:v>
      </x:c>
      <x:c r="H269" s="35" t="n">
        <x:v>27.98</x:v>
      </x:c>
      <x:c r="I269" s="35" t="n">
        <x:v>40.87</x:v>
      </x:c>
      <x:c r="J269" s="9" t="n">
        <x:v>46317</x:v>
      </x:c>
      <x:c r="K269" s="10" t="str">
        <x:v>Open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2" t="str">
        <x:v>HSAI</x:v>
      </x:c>
      <x:c r="E270" s="2" t="str">
        <x:v>XNAS</x:v>
      </x:c>
      <x:c r="F270" s="2" t="str">
        <x:v>USD</x:v>
      </x:c>
      <x:c r="G270" s="17" t="n">
        <x:f>H253</x:f>
        <x:v>13.19</x:v>
      </x:c>
      <x:c r="H270" s="34" t="n">
        <x:v>12.14</x:v>
      </x:c>
      <x:c r="I270" s="34" t="n">
        <x:v>15.93</x:v>
      </x:c>
      <x:c r="J270" s="8" t="n">
        <x:v>46317</x:v>
      </x:c>
      <x:c r="K270" s="2" t="str">
        <x:v>Open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10" t="str">
        <x:v>ROK</x:v>
      </x:c>
      <x:c r="E271" s="10" t="str">
        <x:v>XNYS</x:v>
      </x:c>
      <x:c r="F271" s="10" t="str">
        <x:v>USD</x:v>
      </x:c>
      <x:c r="G271" s="33" t="n">
        <x:f>H254</x:f>
        <x:v>438.51</x:v>
      </x:c>
      <x:c r="H271" s="35" t="n">
        <x:v>423.87</x:v>
      </x:c>
      <x:c r="I271" s="35" t="n">
        <x:v>442.45</x:v>
      </x:c>
      <x:c r="J271" s="9" t="n">
        <x:v>46317</x:v>
      </x:c>
      <x:c r="K271" s="10" t="str">
        <x:v>Open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2" t="str">
        <x:v>SIE.DE</x:v>
      </x:c>
      <x:c r="E272" s="2" t="str">
        <x:v>XETR</x:v>
      </x:c>
      <x:c r="F272" s="2" t="str">
        <x:v>EUR</x:v>
      </x:c>
      <x:c r="G272" s="17" t="n">
        <x:f>H255</x:f>
        <x:v>266.75</x:v>
      </x:c>
      <x:c r="H272" s="34" t="n">
        <x:v>255.7</x:v>
      </x:c>
      <x:c r="I272" s="34" t="n">
        <x:v>271.9</x:v>
      </x:c>
      <x:c r="J272" s="8" t="n">
        <x:v>46317</x:v>
      </x:c>
      <x:c r="K272" s="2" t="str">
        <x:v>Open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10" t="str">
        <x:v>NXPI</x:v>
      </x:c>
      <x:c r="E273" s="10" t="str">
        <x:v>XNAS</x:v>
      </x:c>
      <x:c r="F273" s="10" t="str">
        <x:v>USD</x:v>
      </x:c>
      <x:c r="G273" s="33" t="n">
        <x:f>H256</x:f>
        <x:v>242.36</x:v>
      </x:c>
      <x:c r="H273" s="35" t="n">
        <x:v>237.79</x:v>
      </x:c>
      <x:c r="I273" s="35" t="n">
        <x:v>239.19</x:v>
      </x:c>
      <x:c r="J273" s="9" t="n">
        <x:v>46317</x:v>
      </x:c>
      <x:c r="K273" s="10" t="str">
        <x:v>Open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2" t="str">
        <x:v>6383.T</x:v>
      </x:c>
      <x:c r="E274" s="2" t="str">
        <x:v>XJPX</x:v>
      </x:c>
      <x:c r="F274" s="2" t="str">
        <x:v>JPY</x:v>
      </x:c>
      <x:c r="G274" s="17" t="n">
        <x:f>H257</x:f>
        <x:v>5445</x:v>
      </x:c>
      <x:c r="H274" s="34" t="n">
        <x:v>5202</x:v>
      </x:c>
      <x:c r="I274" s="34" t="n">
        <x:v>5832</x:v>
      </x:c>
      <x:c r="J274" s="8" t="n">
        <x:v>46317</x:v>
      </x:c>
      <x:c r="K274" s="2" t="str">
        <x:v>Open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10" t="str">
        <x:v>HEXA-B.ST</x:v>
      </x:c>
      <x:c r="E275" s="10" t="str">
        <x:v>XSTO</x:v>
      </x:c>
      <x:c r="F275" s="10" t="str">
        <x:v>SEK</x:v>
      </x:c>
      <x:c r="G275" s="33" t="n">
        <x:f>H258</x:f>
        <x:v>104.7</x:v>
      </x:c>
      <x:c r="H275" s="35" t="n">
        <x:v>102.05</x:v>
      </x:c>
      <x:c r="I275" s="35" t="n">
        <x:v>99.02</x:v>
      </x:c>
      <x:c r="J275" s="9" t="n">
        <x:v>46317</x:v>
      </x:c>
      <x:c r="K275" s="10" t="str">
        <x:v>Open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2" t="str">
        <x:v>GSPC.INDX</x:v>
      </x:c>
      <x:c r="E276" s="2" t="str">
        <x:v>INDX</x:v>
      </x:c>
      <x:c r="F276" s="2" t="str">
        <x:v>USD</x:v>
      </x:c>
      <x:c r="G276" s="17" t="n">
        <x:f>H259</x:f>
        <x:v>7757.17</x:v>
      </x:c>
      <x:c r="H276" s="34" t="n">
        <x:v>7663.43</x:v>
      </x:c>
      <x:c r="I276" s="34" t="n">
        <x:v>7666.45</x:v>
      </x:c>
      <x:c r="J276" s="8" t="n">
        <x:v>46317</x:v>
      </x:c>
      <x:c r="K276" s="2" t="str">
        <x:v>Open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10" t="str">
        <x:v>IXIC.INDX</x:v>
      </x:c>
      <x:c r="E277" s="10" t="str">
        <x:v>INDX</x:v>
      </x:c>
      <x:c r="F277" s="10" t="str">
        <x:v>USD</x:v>
      </x:c>
      <x:c r="G277" s="33" t="n">
        <x:f>H260</x:f>
        <x:v>26702.8574</x:v>
      </x:c>
      <x:c r="H277" s="35" t="n">
        <x:v>26008.8594</x:v>
      </x:c>
      <x:c r="I277" s="35" t="n">
        <x:v>26871.5957</x:v>
      </x:c>
      <x:c r="J277" s="9" t="n">
        <x:v>46317</x:v>
      </x:c>
      <x:c r="K277" s="10" t="str">
        <x:v>Open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2" t="str">
        <x:v>6954.T</x:v>
      </x:c>
      <x:c r="E278" s="2" t="str">
        <x:v>XJPX</x:v>
      </x:c>
      <x:c r="F278" s="2" t="str">
        <x:v>JPY</x:v>
      </x:c>
      <x:c r="G278" s="17" t="n">
        <x:f>H261</x:f>
        <x:v>5624</x:v>
      </x:c>
      <x:c r="H278" s="34" t="n">
        <x:v>5587</x:v>
      </x:c>
      <x:c r="I278" s="34" t="n">
        <x:v>6127</x:v>
      </x:c>
      <x:c r="J278" s="8" t="n">
        <x:v>46318</x:v>
      </x:c>
      <x:c r="K278" s="2" t="str">
        <x:v>Open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10" t="str">
        <x:v>6506.T</x:v>
      </x:c>
      <x:c r="E279" s="10" t="str">
        <x:v>XJPX</x:v>
      </x:c>
      <x:c r="F279" s="10" t="str">
        <x:v>JPY</x:v>
      </x:c>
      <x:c r="G279" s="33" t="n">
        <x:f>H262</x:f>
        <x:v>4033</x:v>
      </x:c>
      <x:c r="H279" s="35" t="n">
        <x:v>4022</x:v>
      </x:c>
      <x:c r="I279" s="35" t="n">
        <x:v>4779</x:v>
      </x:c>
      <x:c r="J279" s="9" t="n">
        <x:v>46318</x:v>
      </x:c>
      <x:c r="K279" s="10" t="str">
        <x:v>Open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2" t="str">
        <x:v>002747.SZ</x:v>
      </x:c>
      <x:c r="E280" s="2" t="str">
        <x:v>XSHE</x:v>
      </x:c>
      <x:c r="F280" s="2" t="str">
        <x:v>CNY</x:v>
      </x:c>
      <x:c r="G280" s="17" t="n">
        <x:f>H263</x:f>
        <x:v>26.53</x:v>
      </x:c>
      <x:c r="H280" s="34" t="n">
        <x:v>29.18</x:v>
      </x:c>
      <x:c r="I280" s="34" t="n">
        <x:v>28.22</x:v>
      </x:c>
      <x:c r="J280" s="8" t="n">
        <x:v>46318</x:v>
      </x:c>
      <x:c r="K280" s="2" t="str">
        <x:v>Open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10" t="str">
        <x:v>TER</x:v>
      </x:c>
      <x:c r="E281" s="10" t="str">
        <x:v>XNAS</x:v>
      </x:c>
      <x:c r="F281" s="10" t="str">
        <x:v>USD</x:v>
      </x:c>
      <x:c r="G281" s="33" t="n">
        <x:f>H264</x:f>
        <x:v>308.75</x:v>
      </x:c>
      <x:c r="H281" s="35" t="n">
        <x:v>308.85</x:v>
      </x:c>
      <x:c r="I281" s="35" t="n">
        <x:v>415.79</x:v>
      </x:c>
      <x:c r="J281" s="9" t="n">
        <x:v>46318</x:v>
      </x:c>
      <x:c r="K281" s="10" t="str">
        <x:v>Open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2" t="str">
        <x:v>6268.T</x:v>
      </x:c>
      <x:c r="E282" s="2" t="str">
        <x:v>XJPX</x:v>
      </x:c>
      <x:c r="F282" s="2" t="str">
        <x:v>JPY</x:v>
      </x:c>
      <x:c r="G282" s="17" t="n">
        <x:f>H265</x:f>
        <x:v>4166</x:v>
      </x:c>
      <x:c r="H282" s="34" t="n">
        <x:v>4118</x:v>
      </x:c>
      <x:c r="I282" s="34" t="n">
        <x:v>4975</x:v>
      </x:c>
      <x:c r="J282" s="8" t="n">
        <x:v>46318</x:v>
      </x:c>
      <x:c r="K282" s="2" t="str">
        <x:v>Open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10" t="str">
        <x:v>300124.SZ</x:v>
      </x:c>
      <x:c r="E283" s="10" t="str">
        <x:v>XSHE</x:v>
      </x:c>
      <x:c r="F283" s="10" t="str">
        <x:v>CNY</x:v>
      </x:c>
      <x:c r="G283" s="33" t="n">
        <x:f>H266</x:f>
        <x:v>49.91</x:v>
      </x:c>
      <x:c r="H283" s="35" t="n">
        <x:v>53.5</x:v>
      </x:c>
      <x:c r="I283" s="35" t="n">
        <x:v>51.9</x:v>
      </x:c>
      <x:c r="J283" s="9" t="n">
        <x:v>46318</x:v>
      </x:c>
      <x:c r="K283" s="10" t="str">
        <x:v>Open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2" t="str">
        <x:v>6861.T</x:v>
      </x:c>
      <x:c r="E284" s="2" t="str">
        <x:v>XJPX</x:v>
      </x:c>
      <x:c r="F284" s="2" t="str">
        <x:v>JPY</x:v>
      </x:c>
      <x:c r="G284" s="17" t="n">
        <x:f>H267</x:f>
        <x:v>80360</x:v>
      </x:c>
      <x:c r="H284" s="34" t="n">
        <x:v>78380</x:v>
      </x:c>
      <x:c r="I284" s="34" t="n">
        <x:v>81200</x:v>
      </x:c>
      <x:c r="J284" s="8" t="n">
        <x:v>46318</x:v>
      </x:c>
      <x:c r="K284" s="2" t="str">
        <x:v>Open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10" t="str">
        <x:v>CGNX</x:v>
      </x:c>
      <x:c r="E285" s="10" t="str">
        <x:v>XNAS</x:v>
      </x:c>
      <x:c r="F285" s="10" t="str">
        <x:v>USD</x:v>
      </x:c>
      <x:c r="G285" s="33" t="n">
        <x:f>H268</x:f>
        <x:v>54.6</x:v>
      </x:c>
      <x:c r="H285" s="35" t="n">
        <x:v>55.55</x:v>
      </x:c>
      <x:c r="I285" s="35" t="n">
        <x:v>62.22</x:v>
      </x:c>
      <x:c r="J285" s="9" t="n">
        <x:v>46318</x:v>
      </x:c>
      <x:c r="K285" s="10" t="str">
        <x:v>Open</x:v>
      </x:c>
    </x:row>
    <x:row r="286" ht="27" customHeight="1">
      <x:c r="A286" s="8" t="n">
        <x:v>46318</x:v>
      </x:c>
      <x:c r="B286" s="2" t="str">
        <x:v>Ouster</x:v>
      </x:c>
      <x:c r="C286" s="2" t="str">
        <x:v>OUST</x:v>
      </x:c>
      <x:c r="D286" s="2" t="str">
        <x:v>OUST</x:v>
      </x:c>
      <x:c r="E286" s="2" t="str">
        <x:v>XNAS</x:v>
      </x:c>
      <x:c r="F286" s="2" t="str">
        <x:v>USD</x:v>
      </x:c>
      <x:c r="G286" s="17" t="n">
        <x:f>H269</x:f>
        <x:v>27.98</x:v>
      </x:c>
      <x:c r="H286" s="34" t="n">
        <x:v>29.69</x:v>
      </x:c>
      <x:c r="I286" s="34" t="n">
        <x:v>40.87</x:v>
      </x:c>
      <x:c r="J286" s="8" t="n">
        <x:v>46318</x:v>
      </x:c>
      <x:c r="K286" s="2" t="str">
        <x:v>Open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10" t="str">
        <x:v>HSAI</x:v>
      </x:c>
      <x:c r="E287" s="10" t="str">
        <x:v>XNAS</x:v>
      </x:c>
      <x:c r="F287" s="10" t="str">
        <x:v>USD</x:v>
      </x:c>
      <x:c r="G287" s="33" t="n">
        <x:f>H270</x:f>
        <x:v>12.14</x:v>
      </x:c>
      <x:c r="H287" s="35" t="n">
        <x:v>13.13</x:v>
      </x:c>
      <x:c r="I287" s="35" t="n">
        <x:v>15.93</x:v>
      </x:c>
      <x:c r="J287" s="9" t="n">
        <x:v>46318</x:v>
      </x:c>
      <x:c r="K287" s="10" t="str">
        <x:v>Open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2" t="str">
        <x:v>ROK</x:v>
      </x:c>
      <x:c r="E288" s="2" t="str">
        <x:v>XNYS</x:v>
      </x:c>
      <x:c r="F288" s="2" t="str">
        <x:v>USD</x:v>
      </x:c>
      <x:c r="G288" s="17" t="n">
        <x:f>H271</x:f>
        <x:v>423.87</x:v>
      </x:c>
      <x:c r="H288" s="34" t="n">
        <x:v>426.11</x:v>
      </x:c>
      <x:c r="I288" s="34" t="n">
        <x:v>442.45</x:v>
      </x:c>
      <x:c r="J288" s="8" t="n">
        <x:v>46318</x:v>
      </x:c>
      <x:c r="K288" s="2" t="str">
        <x:v>Open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10" t="str">
        <x:v>SIE.DE</x:v>
      </x:c>
      <x:c r="E289" s="10" t="str">
        <x:v>XETR</x:v>
      </x:c>
      <x:c r="F289" s="10" t="str">
        <x:v>EUR</x:v>
      </x:c>
      <x:c r="G289" s="33" t="n">
        <x:f>H272</x:f>
        <x:v>255.7</x:v>
      </x:c>
      <x:c r="H289" s="35" t="n">
        <x:v>256.8</x:v>
      </x:c>
      <x:c r="I289" s="35" t="n">
        <x:v>271.9</x:v>
      </x:c>
      <x:c r="J289" s="9" t="n">
        <x:v>46318</x:v>
      </x:c>
      <x:c r="K289" s="10" t="str">
        <x:v>Open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2" t="str">
        <x:v>NXPI</x:v>
      </x:c>
      <x:c r="E290" s="2" t="str">
        <x:v>XNAS</x:v>
      </x:c>
      <x:c r="F290" s="2" t="str">
        <x:v>USD</x:v>
      </x:c>
      <x:c r="G290" s="17" t="n">
        <x:f>H273</x:f>
        <x:v>237.79</x:v>
      </x:c>
      <x:c r="H290" s="34" t="n">
        <x:v>234.92</x:v>
      </x:c>
      <x:c r="I290" s="34" t="n">
        <x:v>239.19</x:v>
      </x:c>
      <x:c r="J290" s="8" t="n">
        <x:v>46318</x:v>
      </x:c>
      <x:c r="K290" s="2" t="str">
        <x:v>Open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10" t="str">
        <x:v>6383.T</x:v>
      </x:c>
      <x:c r="E291" s="10" t="str">
        <x:v>XJPX</x:v>
      </x:c>
      <x:c r="F291" s="10" t="str">
        <x:v>JPY</x:v>
      </x:c>
      <x:c r="G291" s="33" t="n">
        <x:f>H274</x:f>
        <x:v>5202</x:v>
      </x:c>
      <x:c r="H291" s="35" t="n">
        <x:v>5199</x:v>
      </x:c>
      <x:c r="I291" s="35" t="n">
        <x:v>5832</x:v>
      </x:c>
      <x:c r="J291" s="9" t="n">
        <x:v>46318</x:v>
      </x:c>
      <x:c r="K291" s="10" t="str">
        <x:v>Open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2" t="str">
        <x:v>HEXA-B.ST</x:v>
      </x:c>
      <x:c r="E292" s="2" t="str">
        <x:v>XSTO</x:v>
      </x:c>
      <x:c r="F292" s="2" t="str">
        <x:v>SEK</x:v>
      </x:c>
      <x:c r="G292" s="17" t="n">
        <x:f>H275</x:f>
        <x:v>102.05</x:v>
      </x:c>
      <x:c r="H292" s="34" t="n">
        <x:v>106.05</x:v>
      </x:c>
      <x:c r="I292" s="34" t="n">
        <x:v>99.02</x:v>
      </x:c>
      <x:c r="J292" s="8" t="n">
        <x:v>46318</x:v>
      </x:c>
      <x:c r="K292" s="2" t="str">
        <x:v>Open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10" t="str">
        <x:v>GSPC.INDX</x:v>
      </x:c>
      <x:c r="E293" s="10" t="str">
        <x:v>INDX</x:v>
      </x:c>
      <x:c r="F293" s="10" t="str">
        <x:v>USD</x:v>
      </x:c>
      <x:c r="G293" s="33" t="n">
        <x:f>H276</x:f>
        <x:v>7663.43</x:v>
      </x:c>
      <x:c r="H293" s="35" t="n">
        <x:v>7623.68</x:v>
      </x:c>
      <x:c r="I293" s="35" t="n">
        <x:v>7666.45</x:v>
      </x:c>
      <x:c r="J293" s="9" t="n">
        <x:v>46318</x:v>
      </x:c>
      <x:c r="K293" s="10" t="str">
        <x:v>Open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2" t="str">
        <x:v>IXIC.INDX</x:v>
      </x:c>
      <x:c r="E294" s="2" t="str">
        <x:v>INDX</x:v>
      </x:c>
      <x:c r="F294" s="2" t="str">
        <x:v>USD</x:v>
      </x:c>
      <x:c r="G294" s="17" t="n">
        <x:f>H277</x:f>
        <x:v>26008.8594</x:v>
      </x:c>
      <x:c r="H294" s="34" t="n">
        <x:v>25955.3398</x:v>
      </x:c>
      <x:c r="I294" s="34" t="n">
        <x:v>26871.5957</x:v>
      </x:c>
      <x:c r="J294" s="8" t="n">
        <x:v>46318</x:v>
      </x:c>
      <x:c r="K294" s="2" t="str">
        <x:v>Open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10" t="str">
        <x:v>6954.T</x:v>
      </x:c>
      <x:c r="E295" s="10" t="str">
        <x:v>XJPX</x:v>
      </x:c>
      <x:c r="F295" s="10" t="str">
        <x:v>JPY</x:v>
      </x:c>
      <x:c r="G295" s="33" t="n">
        <x:f>H278</x:f>
        <x:v>5587</x:v>
      </x:c>
      <x:c r="H295" s="35" t="n">
        <x:v>5639</x:v>
      </x:c>
      <x:c r="I295" s="35" t="n">
        <x:v>6127</x:v>
      </x:c>
      <x:c r="J295" s="9" t="n">
        <x:v>46321</x:v>
      </x:c>
      <x:c r="K295" s="10" t="str">
        <x:v>Open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2" t="str">
        <x:v>6506.T</x:v>
      </x:c>
      <x:c r="E296" s="2" t="str">
        <x:v>XJPX</x:v>
      </x:c>
      <x:c r="F296" s="2" t="str">
        <x:v>JPY</x:v>
      </x:c>
      <x:c r="G296" s="17" t="n">
        <x:f>H279</x:f>
        <x:v>4022</x:v>
      </x:c>
      <x:c r="H296" s="34" t="n">
        <x:v>3980</x:v>
      </x:c>
      <x:c r="I296" s="34" t="n">
        <x:v>4779</x:v>
      </x:c>
      <x:c r="J296" s="8" t="n">
        <x:v>46321</x:v>
      </x:c>
      <x:c r="K296" s="2" t="str">
        <x:v>Open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10" t="str">
        <x:v>002747.SZ</x:v>
      </x:c>
      <x:c r="E297" s="10" t="str">
        <x:v>XSHE</x:v>
      </x:c>
      <x:c r="F297" s="10" t="str">
        <x:v>CNY</x:v>
      </x:c>
      <x:c r="G297" s="33" t="n">
        <x:f>H280</x:f>
        <x:v>29.18</x:v>
      </x:c>
      <x:c r="H297" s="35" t="n">
        <x:v>30.59</x:v>
      </x:c>
      <x:c r="I297" s="35" t="n">
        <x:v>28.22</x:v>
      </x:c>
      <x:c r="J297" s="9" t="n">
        <x:v>46321</x:v>
      </x:c>
      <x:c r="K297" s="10" t="str">
        <x:v>Open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2" t="str">
        <x:v>TER</x:v>
      </x:c>
      <x:c r="E298" s="2" t="str">
        <x:v>XNAS</x:v>
      </x:c>
      <x:c r="F298" s="2" t="str">
        <x:v>USD</x:v>
      </x:c>
      <x:c r="G298" s="17" t="n">
        <x:f>H281</x:f>
        <x:v>308.85</x:v>
      </x:c>
      <x:c r="H298" s="34" t="n">
        <x:v>309</x:v>
      </x:c>
      <x:c r="I298" s="34" t="n">
        <x:v>415.79</x:v>
      </x:c>
      <x:c r="J298" s="8" t="n">
        <x:v>46321</x:v>
      </x:c>
      <x:c r="K298" s="2" t="str">
        <x:v>Open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10" t="str">
        <x:v>6268.T</x:v>
      </x:c>
      <x:c r="E299" s="10" t="str">
        <x:v>XJPX</x:v>
      </x:c>
      <x:c r="F299" s="10" t="str">
        <x:v>JPY</x:v>
      </x:c>
      <x:c r="G299" s="33" t="n">
        <x:f>H282</x:f>
        <x:v>4118</x:v>
      </x:c>
      <x:c r="H299" s="35" t="n">
        <x:v>4140</x:v>
      </x:c>
      <x:c r="I299" s="35" t="n">
        <x:v>4975</x:v>
      </x:c>
      <x:c r="J299" s="9" t="n">
        <x:v>46321</x:v>
      </x:c>
      <x:c r="K299" s="10" t="str">
        <x:v>Open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2" t="str">
        <x:v>300124.SZ</x:v>
      </x:c>
      <x:c r="E300" s="2" t="str">
        <x:v>XSHE</x:v>
      </x:c>
      <x:c r="F300" s="2" t="str">
        <x:v>CNY</x:v>
      </x:c>
      <x:c r="G300" s="17" t="n">
        <x:f>H283</x:f>
        <x:v>53.5</x:v>
      </x:c>
      <x:c r="H300" s="34" t="n">
        <x:v>55.25</x:v>
      </x:c>
      <x:c r="I300" s="34" t="n">
        <x:v>51.9</x:v>
      </x:c>
      <x:c r="J300" s="8" t="n">
        <x:v>46321</x:v>
      </x:c>
      <x:c r="K300" s="2" t="str">
        <x:v>Open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10" t="str">
        <x:v>6861.T</x:v>
      </x:c>
      <x:c r="E301" s="10" t="str">
        <x:v>XJPX</x:v>
      </x:c>
      <x:c r="F301" s="10" t="str">
        <x:v>JPY</x:v>
      </x:c>
      <x:c r="G301" s="33" t="n">
        <x:f>H284</x:f>
        <x:v>78380</x:v>
      </x:c>
      <x:c r="H301" s="35" t="n">
        <x:v>77270</x:v>
      </x:c>
      <x:c r="I301" s="35" t="n">
        <x:v>81200</x:v>
      </x:c>
      <x:c r="J301" s="9" t="n">
        <x:v>46321</x:v>
      </x:c>
      <x:c r="K301" s="10" t="str">
        <x:v>Open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2" t="str">
        <x:v>CGNX</x:v>
      </x:c>
      <x:c r="E302" s="2" t="str">
        <x:v>XNAS</x:v>
      </x:c>
      <x:c r="F302" s="2" t="str">
        <x:v>USD</x:v>
      </x:c>
      <x:c r="G302" s="17" t="n">
        <x:f>H285</x:f>
        <x:v>55.55</x:v>
      </x:c>
      <x:c r="H302" s="34" t="n">
        <x:v>55.63</x:v>
      </x:c>
      <x:c r="I302" s="34" t="n">
        <x:v>62.22</x:v>
      </x:c>
      <x:c r="J302" s="8" t="n">
        <x:v>46321</x:v>
      </x:c>
      <x:c r="K302" s="2" t="str">
        <x:v>Open</x:v>
      </x:c>
    </x:row>
    <x:row r="303" ht="27" customHeight="1">
      <x:c r="A303" s="9" t="n">
        <x:v>46321</x:v>
      </x:c>
      <x:c r="B303" s="10" t="str">
        <x:v>Ouster</x:v>
      </x:c>
      <x:c r="C303" s="10" t="str">
        <x:v>OUST</x:v>
      </x:c>
      <x:c r="D303" s="10" t="str">
        <x:v>OUST</x:v>
      </x:c>
      <x:c r="E303" s="10" t="str">
        <x:v>XNAS</x:v>
      </x:c>
      <x:c r="F303" s="10" t="str">
        <x:v>USD</x:v>
      </x:c>
      <x:c r="G303" s="33" t="n">
        <x:f>H286</x:f>
        <x:v>29.69</x:v>
      </x:c>
      <x:c r="H303" s="35" t="n">
        <x:v>29.71</x:v>
      </x:c>
      <x:c r="I303" s="35" t="n">
        <x:v>40.87</x:v>
      </x:c>
      <x:c r="J303" s="9" t="n">
        <x:v>46321</x:v>
      </x:c>
      <x:c r="K303" s="10" t="str">
        <x:v>Open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2" t="str">
        <x:v>HSAI</x:v>
      </x:c>
      <x:c r="E304" s="2" t="str">
        <x:v>XNAS</x:v>
      </x:c>
      <x:c r="F304" s="2" t="str">
        <x:v>USD</x:v>
      </x:c>
      <x:c r="G304" s="17" t="n">
        <x:f>H287</x:f>
        <x:v>13.13</x:v>
      </x:c>
      <x:c r="H304" s="34" t="n">
        <x:v>13.69</x:v>
      </x:c>
      <x:c r="I304" s="34" t="n">
        <x:v>15.93</x:v>
      </x:c>
      <x:c r="J304" s="8" t="n">
        <x:v>46321</x:v>
      </x:c>
      <x:c r="K304" s="2" t="str">
        <x:v>Open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10" t="str">
        <x:v>ROK</x:v>
      </x:c>
      <x:c r="E305" s="10" t="str">
        <x:v>XNYS</x:v>
      </x:c>
      <x:c r="F305" s="10" t="str">
        <x:v>USD</x:v>
      </x:c>
      <x:c r="G305" s="33" t="n">
        <x:f>H288</x:f>
        <x:v>426.11</x:v>
      </x:c>
      <x:c r="H305" s="35" t="n">
        <x:v>429.89</x:v>
      </x:c>
      <x:c r="I305" s="35" t="n">
        <x:v>442.45</x:v>
      </x:c>
      <x:c r="J305" s="9" t="n">
        <x:v>46321</x:v>
      </x:c>
      <x:c r="K305" s="10" t="str">
        <x:v>Open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2" t="str">
        <x:v>SIE.DE</x:v>
      </x:c>
      <x:c r="E306" s="2" t="str">
        <x:v>XETR</x:v>
      </x:c>
      <x:c r="F306" s="2" t="str">
        <x:v>EUR</x:v>
      </x:c>
      <x:c r="G306" s="17" t="n">
        <x:f>H289</x:f>
        <x:v>256.8</x:v>
      </x:c>
      <x:c r="H306" s="34" t="n">
        <x:v>261.4</x:v>
      </x:c>
      <x:c r="I306" s="34" t="n">
        <x:v>271.9</x:v>
      </x:c>
      <x:c r="J306" s="8" t="n">
        <x:v>46321</x:v>
      </x:c>
      <x:c r="K306" s="2" t="str">
        <x:v>Open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10" t="str">
        <x:v>NXPI</x:v>
      </x:c>
      <x:c r="E307" s="10" t="str">
        <x:v>XNAS</x:v>
      </x:c>
      <x:c r="F307" s="10" t="str">
        <x:v>USD</x:v>
      </x:c>
      <x:c r="G307" s="33" t="n">
        <x:f>H290</x:f>
        <x:v>234.92</x:v>
      </x:c>
      <x:c r="H307" s="35" t="n">
        <x:v>245.83</x:v>
      </x:c>
      <x:c r="I307" s="35" t="n">
        <x:v>239.19</x:v>
      </x:c>
      <x:c r="J307" s="9" t="n">
        <x:v>46321</x:v>
      </x:c>
      <x:c r="K307" s="10" t="str">
        <x:v>Open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2" t="str">
        <x:v>6383.T</x:v>
      </x:c>
      <x:c r="E308" s="2" t="str">
        <x:v>XJPX</x:v>
      </x:c>
      <x:c r="F308" s="2" t="str">
        <x:v>JPY</x:v>
      </x:c>
      <x:c r="G308" s="17" t="n">
        <x:f>H291</x:f>
        <x:v>5199</x:v>
      </x:c>
      <x:c r="H308" s="34" t="n">
        <x:v>5137</x:v>
      </x:c>
      <x:c r="I308" s="34" t="n">
        <x:v>5832</x:v>
      </x:c>
      <x:c r="J308" s="8" t="n">
        <x:v>46321</x:v>
      </x:c>
      <x:c r="K308" s="2" t="str">
        <x:v>Open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10" t="str">
        <x:v>HEXA-B.ST</x:v>
      </x:c>
      <x:c r="E309" s="10" t="str">
        <x:v>XSTO</x:v>
      </x:c>
      <x:c r="F309" s="10" t="str">
        <x:v>SEK</x:v>
      </x:c>
      <x:c r="G309" s="33" t="n">
        <x:f>H292</x:f>
        <x:v>106.05</x:v>
      </x:c>
      <x:c r="H309" s="35" t="n">
        <x:v>109.45</x:v>
      </x:c>
      <x:c r="I309" s="35" t="n">
        <x:v>99.02</x:v>
      </x:c>
      <x:c r="J309" s="9" t="n">
        <x:v>46321</x:v>
      </x:c>
      <x:c r="K309" s="10" t="str">
        <x:v>Open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2" t="str">
        <x:v>GSPC.INDX</x:v>
      </x:c>
      <x:c r="E310" s="2" t="str">
        <x:v>INDX</x:v>
      </x:c>
      <x:c r="F310" s="2" t="str">
        <x:v>USD</x:v>
      </x:c>
      <x:c r="G310" s="17" t="n">
        <x:f>H293</x:f>
        <x:v>7623.68</x:v>
      </x:c>
      <x:c r="H310" s="34" t="n">
        <x:v>7676.77</x:v>
      </x:c>
      <x:c r="I310" s="34" t="n">
        <x:v>7666.45</x:v>
      </x:c>
      <x:c r="J310" s="8" t="n">
        <x:v>46321</x:v>
      </x:c>
      <x:c r="K310" s="2" t="str">
        <x:v>Open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10" t="str">
        <x:v>IXIC.INDX</x:v>
      </x:c>
      <x:c r="E311" s="10" t="str">
        <x:v>INDX</x:v>
      </x:c>
      <x:c r="F311" s="10" t="str">
        <x:v>USD</x:v>
      </x:c>
      <x:c r="G311" s="33" t="n">
        <x:f>H294</x:f>
        <x:v>25955.3398</x:v>
      </x:c>
      <x:c r="H311" s="35" t="n">
        <x:v>26169.3809</x:v>
      </x:c>
      <x:c r="I311" s="35" t="n">
        <x:v>26871.5957</x:v>
      </x:c>
      <x:c r="J311" s="9" t="n">
        <x:v>46321</x:v>
      </x:c>
      <x:c r="K311" s="10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eeef5d0423e34c1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  <x:row r="201" ht="27" customHeight="1">
      <x:c r="A201" s="9" t="n">
        <x:v>46315</x:v>
      </x:c>
      <x:c r="B201" s="10" t="str">
        <x:v>FANUC</x:v>
      </x:c>
      <x:c r="C201" s="10" t="str">
        <x:v>6954</x:v>
      </x:c>
      <x:c r="D201" s="21" t="n">
        <x:f>G186</x:f>
        <x:v>0.07049543965473073</x:v>
      </x:c>
      <x:c r="E201" s="23" t="n">
        <x:f>'Prices'!H227/'Prices'!G227-1</x:f>
        <x:v>-0.026572485704675408</x:v>
      </x:c>
      <x:c r="F201" s="21" t="n">
        <x:f>D201*E201</x:f>
        <x:v>-0.0018732390624701402</x:v>
      </x:c>
      <x:c r="G201" s="21" t="n">
        <x:f>D201*(1+E201)/(1+SUM($F$201:$F$215))</x:f>
        <x:v>0.06834380309546927</x:v>
      </x:c>
      <x:c r="H201" s="23" t="n">
        <x:f>'Prices'!H227/'Prices'!I227-1</x:f>
        <x:v>-0.05532887220499427</x:v>
      </x:c>
    </x:row>
    <x:row r="202" ht="27" customHeight="1">
      <x:c r="A202" s="8" t="n">
        <x:v>46315</x:v>
      </x:c>
      <x:c r="B202" s="2" t="str">
        <x:v>Yaskawa Electric</x:v>
      </x:c>
      <x:c r="C202" s="2" t="str">
        <x:v>6506</x:v>
      </x:c>
      <x:c r="D202" s="20" t="n">
        <x:f>G187</x:f>
        <x:v>0.066470117381231</x:v>
      </x:c>
      <x:c r="E202" s="22" t="n">
        <x:f>'Prices'!H228/'Prices'!G228-1</x:f>
        <x:v>-0.021952892750971897</x:v>
      </x:c>
      <x:c r="F202" s="20" t="n">
        <x:f>D202*E202</x:f>
        <x:v>-0.0014592113580146771</x:v>
      </x:c>
      <x:c r="G202" s="20" t="n">
        <x:f>D202*(1+E202)/(1+SUM($F$201:$F$215))</x:f>
        <x:v>0.06474715940266505</x:v>
      </x:c>
      <x:c r="H202" s="22" t="n">
        <x:f>'Prices'!H228/'Prices'!I228-1</x:f>
        <x:v>-0.10504289600334793</x:v>
      </x:c>
    </x:row>
    <x:row r="203" ht="27" customHeight="1">
      <x:c r="A203" s="9" t="n">
        <x:v>46315</x:v>
      </x:c>
      <x:c r="B203" s="10" t="str">
        <x:v>Estun Automation</x:v>
      </x:c>
      <x:c r="C203" s="15" t="str">
        <x:v>002747</x:v>
      </x:c>
      <x:c r="D203" s="21" t="n">
        <x:f>G188</x:f>
        <x:v>0.06533089490653239</x:v>
      </x:c>
      <x:c r="E203" s="23" t="n">
        <x:f>'Prices'!H229/'Prices'!G229-1</x:f>
        <x:v>0.03624901497241928</x:v>
      </x:c>
      <x:c r="F203" s="21" t="n">
        <x:f>D203*E203</x:f>
        <x:v>0.002368180587628443</x:v>
      </x:c>
      <x:c r="G203" s="21" t="n">
        <x:f>D203*(1+E203)/(1+SUM($F$201:$F$215))</x:f>
        <x:v>0.06742442307861607</x:v>
      </x:c>
      <x:c r="H203" s="23" t="n">
        <x:f>'Prices'!H229/'Prices'!I229-1</x:f>
        <x:v>-0.068036853295535</x:v>
      </x:c>
    </x:row>
    <x:row r="204" ht="27" customHeight="1">
      <x:c r="A204" s="8" t="n">
        <x:v>46315</x:v>
      </x:c>
      <x:c r="B204" s="2" t="str">
        <x:v>Teradyne</x:v>
      </x:c>
      <x:c r="C204" s="2" t="str">
        <x:v>TER</x:v>
      </x:c>
      <x:c r="D204" s="20" t="n">
        <x:f>G189</x:f>
        <x:v>0.058619392813888886</x:v>
      </x:c>
      <x:c r="E204" s="22" t="n">
        <x:f>'Prices'!H230/'Prices'!G230-1</x:f>
        <x:v>0.003159180997228228</x:v>
      </x:c>
      <x:c r="F204" s="20" t="n">
        <x:f>D204*E204</x:f>
        <x:v>0.00018518927184669472</x:v>
      </x:c>
      <x:c r="G204" s="20" t="n">
        <x:f>D204*(1+E204)/(1+SUM($F$201:$F$215))</x:f>
        <x:v>0.058566014270783055</x:v>
      </x:c>
      <x:c r="H204" s="22" t="n">
        <x:f>'Prices'!H230/'Prices'!I230-1</x:f>
        <x:v>-0.1904807715433272</x:v>
      </x:c>
    </x:row>
    <x:row r="205" ht="27" customHeight="1">
      <x:c r="A205" s="9" t="n">
        <x:v>46315</x:v>
      </x:c>
      <x:c r="B205" s="10" t="str">
        <x:v>Nabtesco</x:v>
      </x:c>
      <x:c r="C205" s="10" t="str">
        <x:v>6268</x:v>
      </x:c>
      <x:c r="D205" s="21" t="n">
        <x:f>G190</x:f>
        <x:v>0.06509250392467882</x:v>
      </x:c>
      <x:c r="E205" s="23" t="n">
        <x:f>'Prices'!H231/'Prices'!G231-1</x:f>
        <x:v>-0.037012113055181706</x:v>
      </x:c>
      <x:c r="F205" s="21" t="n">
        <x:f>D205*E205</x:f>
        <x:v>-0.002409211114305071</x:v>
      </x:c>
      <x:c r="G205" s="21" t="n">
        <x:f>D205*(1+E205)/(1+SUM($F$201:$F$215))</x:f>
        <x:v>0.06242898922263636</x:v>
      </x:c>
      <x:c r="H205" s="23" t="n">
        <x:f>'Prices'!H231/'Prices'!I231-1</x:f>
        <x:v>-0.1370854271356784</x:v>
      </x:c>
    </x:row>
    <x:row r="206" ht="27" customHeight="1">
      <x:c r="A206" s="8" t="n">
        <x:v>46315</x:v>
      </x:c>
      <x:c r="B206" s="2" t="str">
        <x:v>Inovance</x:v>
      </x:c>
      <x:c r="C206" s="2" t="str">
        <x:v>300124</x:v>
      </x:c>
      <x:c r="D206" s="20" t="n">
        <x:f>G191</x:f>
        <x:v>0.07108776395929049</x:v>
      </x:c>
      <x:c r="E206" s="22" t="n">
        <x:f>'Prices'!H232/'Prices'!G232-1</x:f>
        <x:v>0.00019688915140769758</x:v>
      </x:c>
      <x:c r="F206" s="20" t="n">
        <x:f>D206*E206</x:f>
        <x:v>0.000013996409521415413</x:v>
      </x:c>
      <x:c r="G206" s="20" t="n">
        <x:f>D206*(1+E206)/(1+SUM($F$201:$F$215))</x:f>
        <x:v>0.07081330339813344</x:v>
      </x:c>
      <x:c r="H206" s="22" t="n">
        <x:f>'Prices'!H232/'Prices'!I232-1</x:f>
        <x:v>-0.021194605009633993</x:v>
      </x:c>
    </x:row>
    <x:row r="207" ht="27" customHeight="1">
      <x:c r="A207" s="9" t="n">
        <x:v>46315</x:v>
      </x:c>
      <x:c r="B207" s="10" t="str">
        <x:v>Keyence</x:v>
      </x:c>
      <x:c r="C207" s="10" t="str">
        <x:v>6861</x:v>
      </x:c>
      <x:c r="D207" s="21" t="n">
        <x:f>G192</x:f>
        <x:v>0.07282923101638225</x:v>
      </x:c>
      <x:c r="E207" s="23" t="n">
        <x:f>'Prices'!H233/'Prices'!G233-1</x:f>
        <x:v>-0.00614175162756414</x:v>
      </x:c>
      <x:c r="F207" s="21" t="n">
        <x:f>D207*E207</x:f>
        <x:v>-0.00044729904812911047</x:v>
      </x:c>
      <x:c r="G207" s="21" t="n">
        <x:f>D207*(1+E207)/(1+SUM($F$201:$F$215))</x:f>
        <x:v>0.07208828139308994</x:v>
      </x:c>
      <x:c r="H207" s="23" t="n">
        <x:f>'Prices'!H233/'Prices'!I233-1</x:f>
        <x:v>-0.0035714285714285587</x:v>
      </x:c>
    </x:row>
    <x:row r="208" ht="27" customHeight="1">
      <x:c r="A208" s="8" t="n">
        <x:v>46315</x:v>
      </x:c>
      <x:c r="B208" s="2" t="str">
        <x:v>Cognex</x:v>
      </x:c>
      <x:c r="C208" s="2" t="str">
        <x:v>CGNX</x:v>
      </x:c>
      <x:c r="D208" s="20" t="n">
        <x:f>G193</x:f>
        <x:v>0.06439887040109012</x:v>
      </x:c>
      <x:c r="E208" s="22" t="n">
        <x:f>'Prices'!H234/'Prices'!G234-1</x:f>
        <x:v>0.02918781725888331</x:v>
      </x:c>
      <x:c r="F208" s="20" t="n">
        <x:f>D208*E208</x:f>
        <x:v>0.0018796624609455274</x:v>
      </x:c>
      <x:c r="G208" s="20" t="n">
        <x:f>D208*(1+E208)/(1+SUM($F$201:$F$215))</x:f>
        <x:v>0.06600964353058691</x:v>
      </x:c>
      <x:c r="H208" s="22" t="n">
        <x:f>'Prices'!H234/'Prices'!I234-1</x:f>
        <x:v>-0.08759241401478612</x:v>
      </x:c>
    </x:row>
    <x:row r="209" ht="27" customHeight="1">
      <x:c r="A209" s="9" t="n">
        <x:v>46315</x:v>
      </x:c>
      <x:c r="B209" s="10" t="str">
        <x:v>Ouster</x:v>
      </x:c>
      <x:c r="C209" s="10" t="str">
        <x:v>OUST</x:v>
      </x:c>
      <x:c r="D209" s="21" t="n">
        <x:f>G194</x:f>
        <x:v>0.05129507721826792</x:v>
      </x:c>
      <x:c r="E209" s="23" t="n">
        <x:f>'Prices'!H235/'Prices'!G235-1</x:f>
        <x:v>0.027373527373527384</x:v>
      </x:c>
      <x:c r="F209" s="21" t="n">
        <x:f>D209*E209</x:f>
        <x:v>0.0014041272003614577</x:v>
      </x:c>
      <x:c r="G209" s="21" t="n">
        <x:f>D209*(1+E209)/(1+SUM($F$201:$F$215))</x:f>
        <x:v>0.052485405874332966</x:v>
      </x:c>
      <x:c r="H209" s="23" t="n">
        <x:f>'Prices'!H235/'Prices'!I235-1</x:f>
        <x:v>-0.2745289943724003</x:v>
      </x:c>
    </x:row>
    <x:row r="210" ht="27" customHeight="1">
      <x:c r="A210" s="8" t="n">
        <x:v>46315</x:v>
      </x:c>
      <x:c r="B210" s="2" t="str">
        <x:v>Hesai</x:v>
      </x:c>
      <x:c r="C210" s="2" t="str">
        <x:v>HSAI</x:v>
      </x:c>
      <x:c r="D210" s="20" t="n">
        <x:f>G195</x:f>
        <x:v>0.058915658579842524</x:v>
      </x:c>
      <x:c r="E210" s="22" t="n">
        <x:f>'Prices'!H236/'Prices'!G236-1</x:f>
        <x:v>0.08281733746130038</x:v>
      </x:c>
      <x:c r="F210" s="20" t="n">
        <x:f>D210*E210</x:f>
        <x:v>0.004879237978361576</x:v>
      </x:c>
      <x:c r="G210" s="20" t="n">
        <x:f>D210*(1+E210)/(1+SUM($F$201:$F$215))</x:f>
        <x:v>0.06353608323894909</x:v>
      </x:c>
      <x:c r="H210" s="22" t="n">
        <x:f>'Prices'!H236/'Prices'!I236-1</x:f>
        <x:v>-0.12178279974890138</x:v>
      </x:c>
    </x:row>
    <x:row r="211" ht="27" customHeight="1">
      <x:c r="A211" s="9" t="n">
        <x:v>46315</x:v>
      </x:c>
      <x:c r="B211" s="10" t="str">
        <x:v>Rockwell Automation</x:v>
      </x:c>
      <x:c r="C211" s="10" t="str">
        <x:v>ROK</x:v>
      </x:c>
      <x:c r="D211" s="21" t="n">
        <x:f>G196</x:f>
        <x:v>0.06968941208769541</x:v>
      </x:c>
      <x:c r="E211" s="23" t="n">
        <x:f>'Prices'!H237/'Prices'!G237-1</x:f>
        <x:v>0.0077744010177396294</x:v>
      </x:c>
      <x:c r="F211" s="21" t="n">
        <x:f>D211*E211</x:f>
        <x:v>0.0005417934362602556</x:v>
      </x:c>
      <x:c r="G211" s="21" t="n">
        <x:f>D211*(1+E211)/(1+SUM($F$201:$F$215))</x:f>
        <x:v>0.06994628035912916</x:v>
      </x:c>
      <x:c r="H211" s="23" t="n">
        <x:f>'Prices'!H237/'Prices'!I237-1</x:f>
        <x:v>-0.033178890270087025</x:v>
      </x:c>
    </x:row>
    <x:row r="212" ht="27" customHeight="1">
      <x:c r="A212" s="8" t="n">
        <x:v>46315</x:v>
      </x:c>
      <x:c r="B212" s="2" t="str">
        <x:v>Siemens</x:v>
      </x:c>
      <x:c r="C212" s="2" t="str">
        <x:v>SIE</x:v>
      </x:c>
      <x:c r="D212" s="20" t="n">
        <x:f>G197</x:f>
        <x:v>0.07111854164686994</x:v>
      </x:c>
      <x:c r="E212" s="22" t="n">
        <x:f>'Prices'!H238/'Prices'!G238-1</x:f>
        <x:v>-0.02235161532682195</x:v>
      </x:c>
      <x:c r="F212" s="20" t="n">
        <x:f>D212*E212</x:f>
        <x:v>-0.0015896142854954034</x:v>
      </x:c>
      <x:c r="G212" s="20" t="n">
        <x:f>D212*(1+E212)/(1+SUM($F$201:$F$215))</x:f>
        <x:v>0.06924685131069515</x:v>
      </x:c>
      <x:c r="H212" s="22" t="n">
        <x:f>'Prices'!H238/'Prices'!I238-1</x:f>
        <x:v>-0.042846634792202964</x:v>
      </x:c>
    </x:row>
    <x:row r="213" ht="27" customHeight="1">
      <x:c r="A213" s="9" t="n">
        <x:v>46315</x:v>
      </x:c>
      <x:c r="B213" s="10" t="str">
        <x:v>NXP Semiconductors</x:v>
      </x:c>
      <x:c r="C213" s="10" t="str">
        <x:v>NXPI</x:v>
      </x:c>
      <x:c r="D213" s="21" t="n">
        <x:f>G198</x:f>
        <x:v>0.06990808940652919</x:v>
      </x:c>
      <x:c r="E213" s="23" t="n">
        <x:f>'Prices'!H239/'Prices'!G239-1</x:f>
        <x:v>0.032190798905252116</x:v>
      </x:c>
      <x:c r="F213" s="21" t="n">
        <x:f>D213*E213</x:f>
        <x:v>0.002250397247935967</x:v>
      </x:c>
      <x:c r="G213" s="21" t="n">
        <x:f>D213*(1+E213)/(1+SUM($F$201:$F$215))</x:f>
        <x:v>0.07186574258791711</x:v>
      </x:c>
      <x:c r="H213" s="23" t="n">
        <x:f>'Prices'!H239/'Prices'!I239-1</x:f>
        <x:v>-0.006647435093440346</x:v>
      </x:c>
    </x:row>
    <x:row r="214" ht="27" customHeight="1">
      <x:c r="A214" s="8" t="n">
        <x:v>46315</x:v>
      </x:c>
      <x:c r="B214" s="2" t="str">
        <x:v>Daifuku</x:v>
      </x:c>
      <x:c r="C214" s="2" t="str">
        <x:v>6383</x:v>
      </x:c>
      <x:c r="D214" s="20" t="n">
        <x:f>G199</x:f>
        <x:v>0.06768401571869972</x:v>
      </x:c>
      <x:c r="E214" s="22" t="n">
        <x:f>'Prices'!H240/'Prices'!G240-1</x:f>
        <x:v>-0.01601030548398974</x:v>
      </x:c>
      <x:c r="F214" s="20" t="n">
        <x:f>D214*E214</x:f>
        <x:v>-0.001083641768039546</x:v>
      </x:c>
      <x:c r="G214" s="20" t="n">
        <x:f>D214*(1+E214)/(1+SUM($F$201:$F$215))</x:f>
        <x:v>0.06633017892291107</x:v>
      </x:c>
      <x:c r="H214" s="22" t="n">
        <x:f>'Prices'!H240/'Prices'!I240-1</x:f>
        <x:v>-0.08316186556927296</x:v>
      </x:c>
    </x:row>
    <x:row r="215" ht="27" customHeight="1">
      <x:c r="A215" s="9" t="n">
        <x:v>46315</x:v>
      </x:c>
      <x:c r="B215" s="10" t="str">
        <x:v>Hexagon</x:v>
      </x:c>
      <x:c r="C215" s="10" t="str">
        <x:v>HEXA B</x:v>
      </x:c>
      <x:c r="D215" s="21" t="n">
        <x:f>G200</x:f>
        <x:v>0.07706499128427037</x:v>
      </x:c>
      <x:c r="E215" s="23" t="n">
        <x:f>'Prices'!H241/'Prices'!G241-1</x:f>
        <x:v>-0.007615421227986641</x:v>
      </x:c>
      <x:c r="F215" s="21" t="n">
        <x:f>D215*E215</x:f>
        <x:v>-0.000586882370560838</x:v>
      </x:c>
      <x:c r="G215" s="21" t="n">
        <x:f>D215*(1+E215)/(1+SUM($F$201:$F$215))</x:f>
        <x:v>0.07616784031408504</x:v>
      </x:c>
      <x:c r="H215" s="23" t="n">
        <x:f>'Prices'!H241/'Prices'!I241-1</x:f>
        <x:v>0.052817612603514474</x:v>
      </x:c>
    </x:row>
    <x:row r="216" ht="27" customHeight="1">
      <x:c r="A216" s="8" t="n">
        <x:v>46316</x:v>
      </x:c>
      <x:c r="B216" s="2" t="str">
        <x:v>FANUC</x:v>
      </x:c>
      <x:c r="C216" s="2" t="str">
        <x:v>6954</x:v>
      </x:c>
      <x:c r="D216" s="20" t="n">
        <x:f>G201</x:f>
        <x:v>0.06834380309546927</x:v>
      </x:c>
      <x:c r="E216" s="22" t="n">
        <x:f>'Prices'!H244/'Prices'!G244-1</x:f>
        <x:v>0.006046993780234988</x:v>
      </x:c>
      <x:c r="F216" s="20" t="n">
        <x:f>D216*E216</x:f>
        <x:v>0.0004132745522359074</x:v>
      </x:c>
      <x:c r="G216" s="20" t="n">
        <x:f>D216*(1+E216)/(1+SUM($F$216:$F$230))</x:f>
        <x:v>0.06838658699824773</x:v>
      </x:c>
      <x:c r="H216" s="22" t="n">
        <x:f>'Prices'!H244/'Prices'!I244-1</x:f>
        <x:v>-0.04961645177085039</x:v>
      </x:c>
    </x:row>
    <x:row r="217" ht="27" customHeight="1">
      <x:c r="A217" s="9" t="n">
        <x:v>46316</x:v>
      </x:c>
      <x:c r="B217" s="10" t="str">
        <x:v>Yaskawa Electric</x:v>
      </x:c>
      <x:c r="C217" s="10" t="str">
        <x:v>6506</x:v>
      </x:c>
      <x:c r="D217" s="21" t="n">
        <x:f>G202</x:f>
        <x:v>0.06474715940266505</x:v>
      </x:c>
      <x:c r="E217" s="23" t="n">
        <x:f>'Prices'!H245/'Prices'!G245-1</x:f>
        <x:v>-0.017068038344634107</x:v>
      </x:c>
      <x:c r="F217" s="21" t="n">
        <x:f>D217*E217</x:f>
        <x:v>-0.0011051069993908238</x:v>
      </x:c>
      <x:c r="G217" s="21" t="n">
        <x:f>D217*(1+E217)/(1+SUM($F$216:$F$230))</x:f>
        <x:v>0.06329912355675599</x:v>
      </x:c>
      <x:c r="H217" s="23" t="n">
        <x:f>'Prices'!H245/'Prices'!I245-1</x:f>
        <x:v>-0.12031805817116548</x:v>
      </x:c>
    </x:row>
    <x:row r="218" ht="27" customHeight="1">
      <x:c r="A218" s="8" t="n">
        <x:v>46316</x:v>
      </x:c>
      <x:c r="B218" s="2" t="str">
        <x:v>Estun Automation</x:v>
      </x:c>
      <x:c r="C218" s="13" t="str">
        <x:v>002747</x:v>
      </x:c>
      <x:c r="D218" s="20" t="n">
        <x:f>G203</x:f>
        <x:v>0.06742442307861607</x:v>
      </x:c>
      <x:c r="E218" s="22" t="n">
        <x:f>'Prices'!H246/'Prices'!G246-1</x:f>
        <x:v>-0.00836501901140696</x:v>
      </x:c>
      <x:c r="F218" s="20" t="n">
        <x:f>D218*E218</x:f>
        <x:v>-0.0005640065808857696</x:v>
      </x:c>
      <x:c r="G218" s="20" t="n">
        <x:f>D218*(1+E218)/(1+SUM($F$216:$F$230))</x:f>
        <x:v>0.06650014581755159</x:v>
      </x:c>
      <x:c r="H218" s="22" t="n">
        <x:f>'Prices'!H246/'Prices'!I246-1</x:f>
        <x:v>-0.07583274273564855</x:v>
      </x:c>
    </x:row>
    <x:row r="219" ht="27" customHeight="1">
      <x:c r="A219" s="9" t="n">
        <x:v>46316</x:v>
      </x:c>
      <x:c r="B219" s="10" t="str">
        <x:v>Teradyne</x:v>
      </x:c>
      <x:c r="C219" s="10" t="str">
        <x:v>TER</x:v>
      </x:c>
      <x:c r="D219" s="21" t="n">
        <x:f>G204</x:f>
        <x:v>0.058566014270783055</x:v>
      </x:c>
      <x:c r="E219" s="23" t="n">
        <x:f>'Prices'!H247/'Prices'!G247-1</x:f>
        <x:v>0.026441664933598785</x:v>
      </x:c>
      <x:c r="F219" s="21" t="n">
        <x:f>D219*E219</x:f>
        <x:v>0.0015485829258444104</x:v>
      </x:c>
      <x:c r="G219" s="21" t="n">
        <x:f>D219*(1+E219)/(1+SUM($F$216:$F$230))</x:f>
        <x:v>0.059790675690373725</x:v>
      </x:c>
      <x:c r="H219" s="23" t="n">
        <x:f>'Prices'!H247/'Prices'!I247-1</x:f>
        <x:v>-0.16907573534717046</x:v>
      </x:c>
    </x:row>
    <x:row r="220" ht="27" customHeight="1">
      <x:c r="A220" s="8" t="n">
        <x:v>46316</x:v>
      </x:c>
      <x:c r="B220" s="2" t="str">
        <x:v>Nabtesco</x:v>
      </x:c>
      <x:c r="C220" s="2" t="str">
        <x:v>6268</x:v>
      </x:c>
      <x:c r="D220" s="20" t="n">
        <x:f>G205</x:f>
        <x:v>0.06242898922263636</x:v>
      </x:c>
      <x:c r="E220" s="22" t="n">
        <x:f>'Prices'!H248/'Prices'!G248-1</x:f>
        <x:v>0.014907989750757134</x:v>
      </x:c>
      <x:c r="F220" s="20" t="n">
        <x:f>D220*E220</x:f>
        <x:v>0.0009306907314811904</x:v>
      </x:c>
      <x:c r="G220" s="20" t="n">
        <x:f>D220*(1+E220)/(1+SUM($F$216:$F$230))</x:f>
        <x:v>0.0630182726433547</x:v>
      </x:c>
      <x:c r="H220" s="22" t="n">
        <x:f>'Prices'!H248/'Prices'!I248-1</x:f>
        <x:v>-0.12422110552763821</x:v>
      </x:c>
    </x:row>
    <x:row r="221" ht="27" customHeight="1">
      <x:c r="A221" s="9" t="n">
        <x:v>46316</x:v>
      </x:c>
      <x:c r="B221" s="10" t="str">
        <x:v>Inovance</x:v>
      </x:c>
      <x:c r="C221" s="10" t="str">
        <x:v>300124</x:v>
      </x:c>
      <x:c r="D221" s="21" t="n">
        <x:f>G206</x:f>
        <x:v>0.07081330339813344</x:v>
      </x:c>
      <x:c r="E221" s="23" t="n">
        <x:f>'Prices'!H249/'Prices'!G249-1</x:f>
        <x:v>-0.017716535433070835</x:v>
      </x:c>
      <x:c r="F221" s="21" t="n">
        <x:f>D221*E221</x:f>
        <x:v>-0.0012545663987858263</x:v>
      </x:c>
      <x:c r="G221" s="21" t="n">
        <x:f>D221*(1+E221)/(1+SUM($F$216:$F$230))</x:f>
        <x:v>0.06918392668849685</x:v>
      </x:c>
      <x:c r="H221" s="23" t="n">
        <x:f>'Prices'!H249/'Prices'!I249-1</x:f>
        <x:v>-0.038535645472061675</x:v>
      </x:c>
    </x:row>
    <x:row r="222" ht="27" customHeight="1">
      <x:c r="A222" s="8" t="n">
        <x:v>46316</x:v>
      </x:c>
      <x:c r="B222" s="2" t="str">
        <x:v>Keyence</x:v>
      </x:c>
      <x:c r="C222" s="2" t="str">
        <x:v>6861</x:v>
      </x:c>
      <x:c r="D222" s="20" t="n">
        <x:f>G207</x:f>
        <x:v>0.07208828139308994</x:v>
      </x:c>
      <x:c r="E222" s="22" t="n">
        <x:f>'Prices'!H250/'Prices'!G250-1</x:f>
        <x:v>-0.0006179705846002248</x:v>
      </x:c>
      <x:c r="F222" s="20" t="n">
        <x:f>D222*E222</x:f>
        <x:v>-0.000044548437395313295</x:v>
      </x:c>
      <x:c r="G222" s="20" t="n">
        <x:f>D222*(1+E222)/(1+SUM($F$216:$F$230))</x:f>
        <x:v>0.07165553249218956</x:v>
      </x:c>
      <x:c r="H222" s="22" t="n">
        <x:f>'Prices'!H250/'Prices'!I250-1</x:f>
        <x:v>-0.004187192118226601</x:v>
      </x:c>
    </x:row>
    <x:row r="223" ht="27" customHeight="1">
      <x:c r="A223" s="9" t="n">
        <x:v>46316</x:v>
      </x:c>
      <x:c r="B223" s="10" t="str">
        <x:v>Cognex</x:v>
      </x:c>
      <x:c r="C223" s="10" t="str">
        <x:v>CGNX</x:v>
      </x:c>
      <x:c r="D223" s="21" t="n">
        <x:f>G208</x:f>
        <x:v>0.06600964353058691</x:v>
      </x:c>
      <x:c r="E223" s="23" t="n">
        <x:f>'Prices'!H251/'Prices'!G251-1</x:f>
        <x:v>0.02254711995772407</x:v>
      </x:c>
      <x:c r="F223" s="21" t="n">
        <x:f>D223*E223</x:f>
        <x:v>0.0014883273510507477</x:v>
      </x:c>
      <x:c r="G223" s="21" t="n">
        <x:f>D223*(1+E223)/(1+SUM($F$216:$F$230))</x:f>
        <x:v>0.06713426480330303</x:v>
      </x:c>
      <x:c r="H223" s="23" t="n">
        <x:f>'Prices'!H251/'Prices'!I251-1</x:f>
        <x:v>-0.06702025072324014</x:v>
      </x:c>
    </x:row>
    <x:row r="224" ht="27" customHeight="1">
      <x:c r="A224" s="8" t="n">
        <x:v>46316</x:v>
      </x:c>
      <x:c r="B224" s="2" t="str">
        <x:v>Ouster</x:v>
      </x:c>
      <x:c r="C224" s="2" t="str">
        <x:v>OUST</x:v>
      </x:c>
      <x:c r="D224" s="20" t="n">
        <x:f>G209</x:f>
        <x:v>0.052485405874332966</x:v>
      </x:c>
      <x:c r="E224" s="22" t="n">
        <x:f>'Prices'!H252/'Prices'!G252-1</x:f>
        <x:v>0.022259696458684752</x:v>
      </x:c>
      <x:c r="F224" s="20" t="n">
        <x:f>D224*E224</x:f>
        <x:v>0.0011683092032735215</x:v>
      </x:c>
      <x:c r="G224" s="20" t="n">
        <x:f>D224*(1+E224)/(1+SUM($F$216:$F$230))</x:f>
        <x:v>0.05336460738971496</x:v>
      </x:c>
      <x:c r="H224" s="22" t="n">
        <x:f>'Prices'!H252/'Prices'!I252-1</x:f>
        <x:v>-0.25838022999755317</x:v>
      </x:c>
    </x:row>
    <x:row r="225" ht="27" customHeight="1">
      <x:c r="A225" s="9" t="n">
        <x:v>46316</x:v>
      </x:c>
      <x:c r="B225" s="10" t="str">
        <x:v>Hesai</x:v>
      </x:c>
      <x:c r="C225" s="10" t="str">
        <x:v>HSAI</x:v>
      </x:c>
      <x:c r="D225" s="21" t="n">
        <x:f>G210</x:f>
        <x:v>0.06353608323894909</x:v>
      </x:c>
      <x:c r="E225" s="23" t="n">
        <x:f>'Prices'!H253/'Prices'!G253-1</x:f>
        <x:v>-0.05718370264474626</x:v>
      </x:c>
      <x:c r="F225" s="21" t="n">
        <x:f>D225*E225</x:f>
        <x:v>-0.0036332284911479115</x:v>
      </x:c>
      <x:c r="G225" s="21" t="n">
        <x:f>D225*(1+E225)/(1+SUM($F$216:$F$230))</x:f>
        <x:v>0.059580074194596454</x:v>
      </x:c>
      <x:c r="H225" s="23" t="n">
        <x:f>'Prices'!H253/'Prices'!I253-1</x:f>
        <x:v>-0.17200251098556185</x:v>
      </x:c>
    </x:row>
    <x:row r="226" ht="27" customHeight="1">
      <x:c r="A226" s="8" t="n">
        <x:v>46316</x:v>
      </x:c>
      <x:c r="B226" s="2" t="str">
        <x:v>Rockwell Automation</x:v>
      </x:c>
      <x:c r="C226" s="2" t="str">
        <x:v>ROK</x:v>
      </x:c>
      <x:c r="D226" s="20" t="n">
        <x:f>G211</x:f>
        <x:v>0.06994628035912916</x:v>
      </x:c>
      <x:c r="E226" s="22" t="n">
        <x:f>'Prices'!H254/'Prices'!G254-1</x:f>
        <x:v>0.025106949996493544</x:v>
      </x:c>
      <x:c r="F226" s="20" t="n">
        <x:f>D226*E226</x:f>
        <x:v>0.0017561377634173743</x:v>
      </x:c>
      <x:c r="G226" s="20" t="n">
        <x:f>D226*(1+E226)/(1+SUM($F$216:$F$230))</x:f>
        <x:v>0.07131605679994926</x:v>
      </x:c>
      <x:c r="H226" s="22" t="n">
        <x:f>'Prices'!H254/'Prices'!I254-1</x:f>
        <x:v>-0.008904961012543788</x:v>
      </x:c>
    </x:row>
    <x:row r="227" ht="27" customHeight="1">
      <x:c r="A227" s="9" t="n">
        <x:v>46316</x:v>
      </x:c>
      <x:c r="B227" s="10" t="str">
        <x:v>Siemens</x:v>
      </x:c>
      <x:c r="C227" s="10" t="str">
        <x:v>SIE</x:v>
      </x:c>
      <x:c r="D227" s="21" t="n">
        <x:f>G212</x:f>
        <x:v>0.06924685131069515</x:v>
      </x:c>
      <x:c r="E227" s="23" t="n">
        <x:f>'Prices'!H255/'Prices'!G255-1</x:f>
        <x:v>0.024975984630163373</x:v>
      </x:c>
      <x:c r="F227" s="21" t="n">
        <x:f>D227*E227</x:f>
        <x:v>0.0017295082940231303</x:v>
      </x:c>
      <x:c r="G227" s="21" t="n">
        <x:f>D227*(1+E227)/(1+SUM($F$216:$F$230))</x:f>
        <x:v>0.07059391057596795</x:v>
      </x:c>
      <x:c r="H227" s="23" t="n">
        <x:f>'Prices'!H255/'Prices'!I255-1</x:f>
        <x:v>-0.01894078705406388</x:v>
      </x:c>
    </x:row>
    <x:row r="228" ht="27" customHeight="1">
      <x:c r="A228" s="8" t="n">
        <x:v>46316</x:v>
      </x:c>
      <x:c r="B228" s="2" t="str">
        <x:v>NXP Semiconductors</x:v>
      </x:c>
      <x:c r="C228" s="2" t="str">
        <x:v>NXPI</x:v>
      </x:c>
      <x:c r="D228" s="20" t="n">
        <x:f>G213</x:f>
        <x:v>0.07186574258791711</x:v>
      </x:c>
      <x:c r="E228" s="22" t="n">
        <x:f>'Prices'!H256/'Prices'!G256-1</x:f>
        <x:v>0.02003367003367007</x:v>
      </x:c>
      <x:c r="F228" s="20" t="n">
        <x:f>D228*E228</x:f>
        <x:v>0.001439734573731002</x:v>
      </x:c>
      <x:c r="G228" s="20" t="n">
        <x:f>D228*(1+E228)/(1+SUM($F$216:$F$230))</x:f>
        <x:v>0.07291047791543871</x:v>
      </x:c>
      <x:c r="H228" s="22" t="n">
        <x:f>'Prices'!H256/'Prices'!I256-1</x:f>
        <x:v>0.013253062418997485</x:v>
      </x:c>
    </x:row>
    <x:row r="229" ht="27" customHeight="1">
      <x:c r="A229" s="9" t="n">
        <x:v>46316</x:v>
      </x:c>
      <x:c r="B229" s="10" t="str">
        <x:v>Daifuku</x:v>
      </x:c>
      <x:c r="C229" s="10" t="str">
        <x:v>6383</x:v>
      </x:c>
      <x:c r="D229" s="21" t="n">
        <x:f>G214</x:f>
        <x:v>0.06633017892291107</x:v>
      </x:c>
      <x:c r="E229" s="23" t="n">
        <x:f>'Prices'!H257/'Prices'!G257-1</x:f>
        <x:v>0.018328034411819738</x:v>
      </x:c>
      <x:c r="F229" s="21" t="n">
        <x:f>D229*E229</x:f>
        <x:v>0.0012157018018412744</x:v>
      </x:c>
      <x:c r="G229" s="21" t="n">
        <x:f>D229*(1+E229)/(1+SUM($F$216:$F$230))</x:f>
        <x:v>0.06718191648901053</x:v>
      </x:c>
      <x:c r="H229" s="23" t="n">
        <x:f>'Prices'!H257/'Prices'!I257-1</x:f>
        <x:v>-0.06635802469135799</x:v>
      </x:c>
    </x:row>
    <x:row r="230" ht="27" customHeight="1">
      <x:c r="A230" s="8" t="n">
        <x:v>46316</x:v>
      </x:c>
      <x:c r="B230" s="2" t="str">
        <x:v>Hexagon</x:v>
      </x:c>
      <x:c r="C230" s="2" t="str">
        <x:v>HEXA B</x:v>
      </x:c>
      <x:c r="D230" s="20" t="n">
        <x:f>G215</x:f>
        <x:v>0.07616784031408504</x:v>
      </x:c>
      <x:c r="E230" s="22" t="n">
        <x:f>'Prices'!H258/'Prices'!G258-1</x:f>
        <x:v>0.004316546762589857</x:v>
      </x:c>
      <x:c r="F230" s="20" t="n">
        <x:f>D230*E230</x:f>
        <x:v>0.00032878204452122493</x:v>
      </x:c>
      <x:c r="G230" s="20" t="n">
        <x:f>D230*(1+E230)/(1+SUM($F$216:$F$230))</x:f>
        <x:v>0.07608442794504852</x:v>
      </x:c>
      <x:c r="H230" s="22" t="n">
        <x:f>'Prices'!H258/'Prices'!I258-1</x:f>
        <x:v>0.05736214906079584</x:v>
      </x:c>
    </x:row>
    <x:row r="231" ht="27" customHeight="1">
      <x:c r="A231" s="9" t="n">
        <x:v>46317</x:v>
      </x:c>
      <x:c r="B231" s="10" t="str">
        <x:v>FANUC</x:v>
      </x:c>
      <x:c r="C231" s="10" t="str">
        <x:v>6954</x:v>
      </x:c>
      <x:c r="D231" s="21" t="n">
        <x:f>G216</x:f>
        <x:v>0.06838658699824773</x:v>
      </x:c>
      <x:c r="E231" s="23" t="n">
        <x:f>'Prices'!H261/'Prices'!G261-1</x:f>
        <x:v>-0.034174823973896595</x:v>
      </x:c>
      <x:c r="F231" s="21" t="n">
        <x:f>D231*E231</x:f>
        <x:v>-0.002337099572840682</x:v>
      </x:c>
      <x:c r="G231" s="21" t="n">
        <x:f>D231*(1+E231)/(1+SUM($F$231:$F$245))</x:f>
        <x:v>0.06864092249009104</x:v>
      </x:c>
      <x:c r="H231" s="23" t="n">
        <x:f>'Prices'!H261/'Prices'!I261-1</x:f>
        <x:v>-0.0820956422392688</x:v>
      </x:c>
    </x:row>
    <x:row r="232" ht="27" customHeight="1">
      <x:c r="A232" s="8" t="n">
        <x:v>46317</x:v>
      </x:c>
      <x:c r="B232" s="2" t="str">
        <x:v>Yaskawa Electric</x:v>
      </x:c>
      <x:c r="C232" s="2" t="str">
        <x:v>6506</x:v>
      </x:c>
      <x:c r="D232" s="20" t="n">
        <x:f>G217</x:f>
        <x:v>0.06329912355675599</x:v>
      </x:c>
      <x:c r="E232" s="22" t="n">
        <x:f>'Prices'!H262/'Prices'!G262-1</x:f>
        <x:v>-0.04067554709800192</x:v>
      </x:c>
      <x:c r="F232" s="20" t="n">
        <x:f>D232*E232</x:f>
        <x:v>-0.002574726481495071</x:v>
      </x:c>
      <x:c r="G232" s="20" t="n">
        <x:f>D232*(1+E232)/(1+SUM($F$231:$F$245))</x:f>
        <x:v>0.06310690355633457</x:v>
      </x:c>
      <x:c r="H232" s="22" t="n">
        <x:f>'Prices'!H262/'Prices'!I262-1</x:f>
        <x:v>-0.15609960242728604</x:v>
      </x:c>
    </x:row>
    <x:row r="233" ht="27" customHeight="1">
      <x:c r="A233" s="9" t="n">
        <x:v>46317</x:v>
      </x:c>
      <x:c r="B233" s="10" t="str">
        <x:v>Estun Automation</x:v>
      </x:c>
      <x:c r="C233" s="15" t="str">
        <x:v>002747</x:v>
      </x:c>
      <x:c r="D233" s="21" t="n">
        <x:f>G218</x:f>
        <x:v>0.06650014581755159</x:v>
      </x:c>
      <x:c r="E233" s="23" t="n">
        <x:f>'Prices'!H263/'Prices'!G263-1</x:f>
        <x:v>0.01725460122699407</x:v>
      </x:c>
      <x:c r="F233" s="21" t="n">
        <x:f>D233*E233</x:f>
        <x:v>0.0011474334976188103</x:v>
      </x:c>
      <x:c r="G233" s="21" t="n">
        <x:f>D233*(1+E233)/(1+SUM($F$231:$F$245))</x:f>
        <x:v>0.07030171511412424</x:v>
      </x:c>
      <x:c r="H233" s="23" t="n">
        <x:f>'Prices'!H263/'Prices'!I263-1</x:f>
        <x:v>-0.059886605244507396</x:v>
      </x:c>
    </x:row>
    <x:row r="234" ht="27" customHeight="1">
      <x:c r="A234" s="8" t="n">
        <x:v>46317</x:v>
      </x:c>
      <x:c r="B234" s="2" t="str">
        <x:v>Teradyne</x:v>
      </x:c>
      <x:c r="C234" s="2" t="str">
        <x:v>TER</x:v>
      </x:c>
      <x:c r="D234" s="20" t="n">
        <x:f>G219</x:f>
        <x:v>0.059790675690373725</x:v>
      </x:c>
      <x:c r="E234" s="22" t="n">
        <x:f>'Prices'!H264/'Prices'!G264-1</x:f>
        <x:v>-0.1063417175605662</x:v>
      </x:c>
      <x:c r="F234" s="20" t="n">
        <x:f>D234*E234</x:f>
        <x:v>-0.006358243147021134</x:v>
      </x:c>
      <x:c r="G234" s="20" t="n">
        <x:f>D234*(1+E234)/(1+SUM($F$231:$F$245))</x:f>
        <x:v>0.055528840625861685</x:v>
      </x:c>
      <x:c r="H234" s="22" t="n">
        <x:f>'Prices'!H264/'Prices'!I264-1</x:f>
        <x:v>-0.2574376488131028</x:v>
      </x:c>
    </x:row>
    <x:row r="235" ht="27" customHeight="1">
      <x:c r="A235" s="9" t="n">
        <x:v>46317</x:v>
      </x:c>
      <x:c r="B235" s="10" t="str">
        <x:v>Nabtesco</x:v>
      </x:c>
      <x:c r="C235" s="10" t="str">
        <x:v>6268</x:v>
      </x:c>
      <x:c r="D235" s="21" t="n">
        <x:f>G220</x:f>
        <x:v>0.0630182726433547</x:v>
      </x:c>
      <x:c r="E235" s="23" t="n">
        <x:f>'Prices'!H265/'Prices'!G265-1</x:f>
        <x:v>-0.0438375028689465</x:v>
      </x:c>
      <x:c r="F235" s="21" t="n">
        <x:f>D235*E235</x:f>
        <x:v>-0.0027625637077991145</x:v>
      </x:c>
      <x:c r="G235" s="21" t="n">
        <x:f>D235*(1+E235)/(1+SUM($F$231:$F$245))</x:f>
        <x:v>0.06261982655508047</x:v>
      </x:c>
      <x:c r="H235" s="23" t="n">
        <x:f>'Prices'!H265/'Prices'!I265-1</x:f>
        <x:v>-0.1626130653266331</x:v>
      </x:c>
    </x:row>
    <x:row r="236" ht="27" customHeight="1">
      <x:c r="A236" s="8" t="n">
        <x:v>46317</x:v>
      </x:c>
      <x:c r="B236" s="2" t="str">
        <x:v>Inovance</x:v>
      </x:c>
      <x:c r="C236" s="2" t="str">
        <x:v>300124</x:v>
      </x:c>
      <x:c r="D236" s="20" t="n">
        <x:f>G221</x:f>
        <x:v>0.06918392668849685</x:v>
      </x:c>
      <x:c r="E236" s="22" t="n">
        <x:f>'Prices'!H266/'Prices'!G266-1</x:f>
        <x:v>0.00020040080160321772</x:v>
      </x:c>
      <x:c r="F236" s="20" t="n">
        <x:f>D236*E236</x:f>
        <x:v>0.000013864514366433017</x:v>
      </x:c>
      <x:c r="G236" s="20" t="n">
        <x:f>D236*(1+E236)/(1+SUM($F$231:$F$245))</x:f>
        <x:v>0.07191274917622073</x:v>
      </x:c>
      <x:c r="H236" s="22" t="n">
        <x:f>'Prices'!H266/'Prices'!I266-1</x:f>
        <x:v>-0.03834296724470143</x:v>
      </x:c>
    </x:row>
    <x:row r="237" ht="27" customHeight="1">
      <x:c r="A237" s="9" t="n">
        <x:v>46317</x:v>
      </x:c>
      <x:c r="B237" s="10" t="str">
        <x:v>Keyence</x:v>
      </x:c>
      <x:c r="C237" s="10" t="str">
        <x:v>6861</x:v>
      </x:c>
      <x:c r="D237" s="21" t="n">
        <x:f>G222</x:f>
        <x:v>0.07165553249218956</x:v>
      </x:c>
      <x:c r="E237" s="23" t="n">
        <x:f>'Prices'!H267/'Prices'!G267-1</x:f>
        <x:v>-0.006183527083848617</x:v>
      </x:c>
      <x:c r="F237" s="21" t="n">
        <x:f>D237*E237</x:f>
        <x:v>-0.00044308392587304873</x:v>
      </x:c>
      <x:c r="G237" s="21" t="n">
        <x:f>D237*(1+E237)/(1+SUM($F$231:$F$245))</x:f>
        <x:v>0.07400645111577114</x:v>
      </x:c>
      <x:c r="H237" s="23" t="n">
        <x:f>'Prices'!H267/'Prices'!I267-1</x:f>
        <x:v>-0.010344827586206917</x:v>
      </x:c>
    </x:row>
    <x:row r="238" ht="27" customHeight="1">
      <x:c r="A238" s="8" t="n">
        <x:v>46317</x:v>
      </x:c>
      <x:c r="B238" s="2" t="str">
        <x:v>Cognex</x:v>
      </x:c>
      <x:c r="C238" s="2" t="str">
        <x:v>CGNX</x:v>
      </x:c>
      <x:c r="D238" s="20" t="n">
        <x:f>G223</x:f>
        <x:v>0.06713426480330303</x:v>
      </x:c>
      <x:c r="E238" s="22" t="n">
        <x:f>'Prices'!H268/'Prices'!G268-1</x:f>
        <x:v>-0.05943152454780354</x:v>
      </x:c>
      <x:c r="F238" s="20" t="n">
        <x:f>D238*E238</x:f>
        <x:v>-0.003989891706656247</x:v>
      </x:c>
      <x:c r="G238" s="20" t="n">
        <x:f>D238*(1+E238)/(1+SUM($F$231:$F$245))</x:f>
        <x:v>0.06562182672965099</x:v>
      </x:c>
      <x:c r="H238" s="22" t="n">
        <x:f>'Prices'!H268/'Prices'!I268-1</x:f>
        <x:v>-0.12246865959498554</x:v>
      </x:c>
    </x:row>
    <x:row r="239" ht="27" customHeight="1">
      <x:c r="A239" s="9" t="n">
        <x:v>46317</x:v>
      </x:c>
      <x:c r="B239" s="10" t="str">
        <x:v>Ouster</x:v>
      </x:c>
      <x:c r="C239" s="10" t="str">
        <x:v>OUST</x:v>
      </x:c>
      <x:c r="D239" s="21" t="n">
        <x:f>G224</x:f>
        <x:v>0.05336460738971496</x:v>
      </x:c>
      <x:c r="E239" s="23" t="n">
        <x:f>'Prices'!H269/'Prices'!G269-1</x:f>
        <x:v>-0.0768723193665456</x:v>
      </x:c>
      <x:c r="F239" s="21" t="n">
        <x:f>D239*E239</x:f>
        <x:v>-0.0041022611421324875</x:v>
      </x:c>
      <x:c r="G239" s="21" t="n">
        <x:f>D239*(1+E239)/(1+SUM($F$231:$F$245))</x:f>
        <x:v>0.051195142040718074</x:v>
      </x:c>
      <x:c r="H239" s="23" t="n">
        <x:f>'Prices'!H269/'Prices'!I269-1</x:f>
        <x:v>-0.3153902618057254</x:v>
      </x:c>
    </x:row>
    <x:row r="240" ht="27" customHeight="1">
      <x:c r="A240" s="8" t="n">
        <x:v>46317</x:v>
      </x:c>
      <x:c r="B240" s="2" t="str">
        <x:v>Hesai</x:v>
      </x:c>
      <x:c r="C240" s="2" t="str">
        <x:v>HSAI</x:v>
      </x:c>
      <x:c r="D240" s="20" t="n">
        <x:f>G225</x:f>
        <x:v>0.059580074194596454</x:v>
      </x:c>
      <x:c r="E240" s="22" t="n">
        <x:f>'Prices'!H270/'Prices'!G270-1</x:f>
        <x:v>-0.07960576194086422</x:v>
      </x:c>
      <x:c r="F240" s="20" t="n">
        <x:f>D240*E240</x:f>
        <x:v>-0.004742917202754072</x:v>
      </x:c>
      <x:c r="G240" s="20" t="n">
        <x:f>D240*(1+E240)/(1+SUM($F$231:$F$245))</x:f>
        <x:v>0.05698867908558656</x:v>
      </x:c>
      <x:c r="H240" s="22" t="n">
        <x:f>'Prices'!H270/'Prices'!I270-1</x:f>
        <x:v>-0.23791588198367852</x:v>
      </x:c>
    </x:row>
    <x:row r="241" ht="27" customHeight="1">
      <x:c r="A241" s="9" t="n">
        <x:v>46317</x:v>
      </x:c>
      <x:c r="B241" s="10" t="str">
        <x:v>Rockwell Automation</x:v>
      </x:c>
      <x:c r="C241" s="10" t="str">
        <x:v>ROK</x:v>
      </x:c>
      <x:c r="D241" s="21" t="n">
        <x:f>G226</x:f>
        <x:v>0.07131605679994926</x:v>
      </x:c>
      <x:c r="E241" s="23" t="n">
        <x:f>'Prices'!H271/'Prices'!G271-1</x:f>
        <x:v>-0.03338578367654099</x:v>
      </x:c>
      <x:c r="F241" s="21" t="n">
        <x:f>D241*E241</x:f>
        <x:v>-0.0023809424449870165</x:v>
      </x:c>
      <x:c r="G241" s="21" t="n">
        <x:f>D241*(1+E241)/(1+SUM($F$231:$F$245))</x:f>
        <x:v>0.0716397662681084</x:v>
      </x:c>
      <x:c r="H241" s="23" t="n">
        <x:f>'Prices'!H271/'Prices'!I271-1</x:f>
        <x:v>-0.041993445587071965</x:v>
      </x:c>
    </x:row>
    <x:row r="242" ht="27" customHeight="1">
      <x:c r="A242" s="8" t="n">
        <x:v>46317</x:v>
      </x:c>
      <x:c r="B242" s="2" t="str">
        <x:v>Siemens</x:v>
      </x:c>
      <x:c r="C242" s="2" t="str">
        <x:v>SIE</x:v>
      </x:c>
      <x:c r="D242" s="20" t="n">
        <x:f>G227</x:f>
        <x:v>0.07059391057596795</x:v>
      </x:c>
      <x:c r="E242" s="22" t="n">
        <x:f>'Prices'!H272/'Prices'!G272-1</x:f>
        <x:v>-0.04142455482661678</x:v>
      </x:c>
      <x:c r="F242" s="20" t="n">
        <x:f>D242*E242</x:f>
        <x:v>-0.002924321319079466</x:v>
      </x:c>
      <x:c r="G242" s="20" t="n">
        <x:f>D242*(1+E242)/(1+SUM($F$231:$F$245))</x:f>
        <x:v>0.07032458861038246</x:v>
      </x:c>
      <x:c r="H242" s="22" t="n">
        <x:f>'Prices'!H272/'Prices'!I272-1</x:f>
        <x:v>-0.05958072820890026</x:v>
      </x:c>
    </x:row>
    <x:row r="243" ht="27" customHeight="1">
      <x:c r="A243" s="9" t="n">
        <x:v>46317</x:v>
      </x:c>
      <x:c r="B243" s="10" t="str">
        <x:v>NXP Semiconductors</x:v>
      </x:c>
      <x:c r="C243" s="10" t="str">
        <x:v>NXPI</x:v>
      </x:c>
      <x:c r="D243" s="21" t="n">
        <x:f>G228</x:f>
        <x:v>0.07291047791543871</x:v>
      </x:c>
      <x:c r="E243" s="23" t="n">
        <x:f>'Prices'!H273/'Prices'!G273-1</x:f>
        <x:v>-0.018856246905429974</x:v>
      </x:c>
      <x:c r="F243" s="21" t="n">
        <x:f>D243*E243</x:f>
        <x:v>-0.0013748179735664117</x:v>
      </x:c>
      <x:c r="G243" s="21" t="n">
        <x:f>D243*(1+E243)/(1+SUM($F$231:$F$245))</x:f>
        <x:v>0.07434234360854022</x:v>
      </x:c>
      <x:c r="H243" s="23" t="n">
        <x:f>'Prices'!H273/'Prices'!I273-1</x:f>
        <x:v>-0.005853087503658205</x:v>
      </x:c>
    </x:row>
    <x:row r="244" ht="27" customHeight="1">
      <x:c r="A244" s="8" t="n">
        <x:v>46317</x:v>
      </x:c>
      <x:c r="B244" s="2" t="str">
        <x:v>Daifuku</x:v>
      </x:c>
      <x:c r="C244" s="2" t="str">
        <x:v>6383</x:v>
      </x:c>
      <x:c r="D244" s="20" t="n">
        <x:f>G229</x:f>
        <x:v>0.06718191648901053</x:v>
      </x:c>
      <x:c r="E244" s="22" t="n">
        <x:f>'Prices'!H274/'Prices'!G274-1</x:f>
        <x:v>-0.044628099173553704</x:v>
      </x:c>
      <x:c r="F244" s="20" t="n">
        <x:f>D244*E244</x:f>
        <x:v>-0.0029982012317409648</x:v>
      </x:c>
      <x:c r="G244" s="20" t="n">
        <x:f>D244*(1+E244)/(1+SUM($F$231:$F$245))</x:f>
        <x:v>0.06670194721913338</x:v>
      </x:c>
      <x:c r="H244" s="22" t="n">
        <x:f>'Prices'!H274/'Prices'!I274-1</x:f>
        <x:v>-0.10802469135802473</x:v>
      </x:c>
    </x:row>
    <x:row r="245" ht="27" customHeight="1">
      <x:c r="A245" s="9" t="n">
        <x:v>46317</x:v>
      </x:c>
      <x:c r="B245" s="10" t="str">
        <x:v>Hexagon</x:v>
      </x:c>
      <x:c r="C245" s="10" t="str">
        <x:v>HEXA B</x:v>
      </x:c>
      <x:c r="D245" s="21" t="n">
        <x:f>G230</x:f>
        <x:v>0.07608442794504852</x:v>
      </x:c>
      <x:c r="E245" s="23" t="n">
        <x:f>'Prices'!H275/'Prices'!G275-1</x:f>
        <x:v>-0.02531041069723028</x:v>
      </x:c>
      <x:c r="F245" s="21" t="n">
        <x:f>D245*E245</x:f>
        <x:v>-0.0019257281189530024</x:v>
      </x:c>
      <x:c r="G245" s="21" t="n">
        <x:f>D245*(1+E245)/(1+SUM($F$231:$F$245))</x:f>
        <x:v>0.07706829780439557</x:v>
      </x:c>
      <x:c r="H245" s="23" t="n">
        <x:f>'Prices'!H275/'Prices'!I275-1</x:f>
        <x:v>0.030599878812361148</x:v>
      </x:c>
    </x:row>
    <x:row r="246" ht="27" customHeight="1">
      <x:c r="A246" s="8" t="n">
        <x:v>46318</x:v>
      </x:c>
      <x:c r="B246" s="2" t="str">
        <x:v>FANUC</x:v>
      </x:c>
      <x:c r="C246" s="2" t="str">
        <x:v>6954</x:v>
      </x:c>
      <x:c r="D246" s="20" t="n">
        <x:f>G231</x:f>
        <x:v>0.06864092249009104</x:v>
      </x:c>
      <x:c r="E246" s="22" t="n">
        <x:f>'Prices'!H278/'Prices'!G278-1</x:f>
        <x:v>-0.006578947368421018</x:v>
      </x:c>
      <x:c r="F246" s="20" t="n">
        <x:f>D246*E246</x:f>
        <x:v>-0.0004515850163821755</x:v>
      </x:c>
      <x:c r="G246" s="20" t="n">
        <x:f>D246*(1+E246)/(1+SUM($F$246:$F$260))</x:f>
        <x:v>0.06680459222621804</x:v>
      </x:c>
      <x:c r="H246" s="22" t="n">
        <x:f>'Prices'!H278/'Prices'!I278-1</x:f>
        <x:v>-0.08813448669822099</x:v>
      </x:c>
    </x:row>
    <x:row r="247" ht="27" customHeight="1">
      <x:c r="A247" s="9" t="n">
        <x:v>46318</x:v>
      </x:c>
      <x:c r="B247" s="10" t="str">
        <x:v>Yaskawa Electric</x:v>
      </x:c>
      <x:c r="C247" s="10" t="str">
        <x:v>6506</x:v>
      </x:c>
      <x:c r="D247" s="21" t="n">
        <x:f>G232</x:f>
        <x:v>0.06310690355633457</x:v>
      </x:c>
      <x:c r="E247" s="23" t="n">
        <x:f>'Prices'!H279/'Prices'!G279-1</x:f>
        <x:v>-0.0027274981403421217</x:v>
      </x:c>
      <x:c r="F247" s="21" t="n">
        <x:f>D247*E247</x:f>
        <x:v>-0.00017212396209265215</x:v>
      </x:c>
      <x:c r="G247" s="21" t="n">
        <x:f>D247*(1+E247)/(1+SUM($F$246:$F$260))</x:f>
        <x:v>0.06165674053163025</x:v>
      </x:c>
      <x:c r="H247" s="23" t="n">
        <x:f>'Prices'!H279/'Prices'!I279-1</x:f>
        <x:v>-0.1584013391922996</x:v>
      </x:c>
    </x:row>
    <x:row r="248" ht="27" customHeight="1">
      <x:c r="A248" s="8" t="n">
        <x:v>46318</x:v>
      </x:c>
      <x:c r="B248" s="2" t="str">
        <x:v>Estun Automation</x:v>
      </x:c>
      <x:c r="C248" s="13" t="str">
        <x:v>002747</x:v>
      </x:c>
      <x:c r="D248" s="20" t="n">
        <x:f>G233</x:f>
        <x:v>0.07030171511412424</x:v>
      </x:c>
      <x:c r="E248" s="22" t="n">
        <x:f>'Prices'!H280/'Prices'!G280-1</x:f>
        <x:v>0.09988692046739533</x:v>
      </x:c>
      <x:c r="F248" s="20" t="n">
        <x:f>D248*E248</x:f>
        <x:v>0.007022221826326012</x:v>
      </x:c>
      <x:c r="G248" s="20" t="n">
        <x:f>D248*(1+E248)/(1+SUM($F$246:$F$260))</x:f>
        <x:v>0.07575369211680971</x:v>
      </x:c>
      <x:c r="H248" s="22" t="n">
        <x:f>'Prices'!H280/'Prices'!I280-1</x:f>
        <x:v>0.03401842664776766</x:v>
      </x:c>
    </x:row>
    <x:row r="249" ht="27" customHeight="1">
      <x:c r="A249" s="9" t="n">
        <x:v>46318</x:v>
      </x:c>
      <x:c r="B249" s="10" t="str">
        <x:v>Teradyne</x:v>
      </x:c>
      <x:c r="C249" s="10" t="str">
        <x:v>TER</x:v>
      </x:c>
      <x:c r="D249" s="21" t="n">
        <x:f>G234</x:f>
        <x:v>0.055528840625861685</x:v>
      </x:c>
      <x:c r="E249" s="23" t="n">
        <x:f>'Prices'!H281/'Prices'!G281-1</x:f>
        <x:v>0.00032388663967619635</x:v>
      </x:c>
      <x:c r="F249" s="21" t="n">
        <x:f>D249*E249</x:f>
        <x:v>0.000017985049595425397</x:v>
      </x:c>
      <x:c r="G249" s="21" t="n">
        <x:f>D249*(1+E249)/(1+SUM($F$246:$F$260))</x:f>
        <x:v>0.05441881643358777</x:v>
      </x:c>
      <x:c r="H249" s="23" t="n">
        <x:f>'Prices'!H281/'Prices'!I281-1</x:f>
        <x:v>-0.25719714278842687</x:v>
      </x:c>
    </x:row>
    <x:row r="250" ht="27" customHeight="1">
      <x:c r="A250" s="8" t="n">
        <x:v>46318</x:v>
      </x:c>
      <x:c r="B250" s="2" t="str">
        <x:v>Nabtesco</x:v>
      </x:c>
      <x:c r="C250" s="2" t="str">
        <x:v>6268</x:v>
      </x:c>
      <x:c r="D250" s="20" t="n">
        <x:f>G235</x:f>
        <x:v>0.06261982655508047</x:v>
      </x:c>
      <x:c r="E250" s="22" t="n">
        <x:f>'Prices'!H282/'Prices'!G282-1</x:f>
        <x:v>-0.011521843494959216</x:v>
      </x:c>
      <x:c r="F250" s="20" t="n">
        <x:f>D250*E250</x:f>
        <x:v>-0.0007214958412491284</x:v>
      </x:c>
      <x:c r="G250" s="20" t="n">
        <x:f>D250*(1+E250)/(1+SUM($F$246:$F$260))</x:f>
        <x:v>0.060641339189069256</x:v>
      </x:c>
      <x:c r="H250" s="22" t="n">
        <x:f>'Prices'!H282/'Prices'!I282-1</x:f>
        <x:v>-0.17226130653266336</x:v>
      </x:c>
    </x:row>
    <x:row r="251" ht="27" customHeight="1">
      <x:c r="A251" s="9" t="n">
        <x:v>46318</x:v>
      </x:c>
      <x:c r="B251" s="10" t="str">
        <x:v>Inovance</x:v>
      </x:c>
      <x:c r="C251" s="10" t="str">
        <x:v>300124</x:v>
      </x:c>
      <x:c r="D251" s="21" t="n">
        <x:f>G236</x:f>
        <x:v>0.07191274917622073</x:v>
      </x:c>
      <x:c r="E251" s="23" t="n">
        <x:f>'Prices'!H283/'Prices'!G283-1</x:f>
        <x:v>0.07192947305149278</x:v>
      </x:c>
      <x:c r="F251" s="21" t="n">
        <x:f>D251*E251</x:f>
        <x:v>0.005172646153929729</x:v>
      </x:c>
      <x:c r="G251" s="21" t="n">
        <x:f>D251*(1+E251)/(1+SUM($F$246:$F$260))</x:f>
        <x:v>0.07551999465624695</x:v>
      </x:c>
      <x:c r="H251" s="23" t="n">
        <x:f>'Prices'!H283/'Prices'!I283-1</x:f>
        <x:v>0.030828516377649384</x:v>
      </x:c>
    </x:row>
    <x:row r="252" ht="27" customHeight="1">
      <x:c r="A252" s="8" t="n">
        <x:v>46318</x:v>
      </x:c>
      <x:c r="B252" s="2" t="str">
        <x:v>Keyence</x:v>
      </x:c>
      <x:c r="C252" s="2" t="str">
        <x:v>6861</x:v>
      </x:c>
      <x:c r="D252" s="20" t="n">
        <x:f>G237</x:f>
        <x:v>0.07400645111577114</x:v>
      </x:c>
      <x:c r="E252" s="22" t="n">
        <x:f>'Prices'!H284/'Prices'!G284-1</x:f>
        <x:v>-0.024639123942259866</x:v>
      </x:c>
      <x:c r="F252" s="20" t="n">
        <x:f>D252*E252</x:f>
        <x:v>-0.0018234541215682812</x:v>
      </x:c>
      <x:c r="G252" s="20" t="n">
        <x:f>D252*(1+E252)/(1+SUM($F$246:$F$260))</x:f>
        <x:v>0.07071715107546364</x:v>
      </x:c>
      <x:c r="H252" s="22" t="n">
        <x:f>'Prices'!H284/'Prices'!I284-1</x:f>
        <x:v>-0.0347290640394089</x:v>
      </x:c>
    </x:row>
    <x:row r="253" ht="27" customHeight="1">
      <x:c r="A253" s="9" t="n">
        <x:v>46318</x:v>
      </x:c>
      <x:c r="B253" s="10" t="str">
        <x:v>Cognex</x:v>
      </x:c>
      <x:c r="C253" s="10" t="str">
        <x:v>CGNX</x:v>
      </x:c>
      <x:c r="D253" s="21" t="n">
        <x:f>G238</x:f>
        <x:v>0.06562182672965099</x:v>
      </x:c>
      <x:c r="E253" s="23" t="n">
        <x:f>'Prices'!H285/'Prices'!G285-1</x:f>
        <x:v>0.017399267399267337</x:v>
      </x:c>
      <x:c r="F253" s="21" t="n">
        <x:f>D253*E253</x:f>
        <x:v>0.0011417717104975863</x:v>
      </x:c>
      <x:c r="G253" s="21" t="n">
        <x:f>D253*(1+E253)/(1+SUM($F$246:$F$260))</x:f>
        <x:v>0.06540780618478274</x:v>
      </x:c>
      <x:c r="H253" s="23" t="n">
        <x:f>'Prices'!H285/'Prices'!I285-1</x:f>
        <x:v>-0.10720025715204118</x:v>
      </x:c>
    </x:row>
    <x:row r="254" ht="27" customHeight="1">
      <x:c r="A254" s="8" t="n">
        <x:v>46318</x:v>
      </x:c>
      <x:c r="B254" s="2" t="str">
        <x:v>Ouster</x:v>
      </x:c>
      <x:c r="C254" s="2" t="str">
        <x:v>OUST</x:v>
      </x:c>
      <x:c r="D254" s="20" t="n">
        <x:f>G239</x:f>
        <x:v>0.051195142040718074</x:v>
      </x:c>
      <x:c r="E254" s="22" t="n">
        <x:f>'Prices'!H286/'Prices'!G286-1</x:f>
        <x:v>0.06111508220157269</x:v>
      </x:c>
      <x:c r="F254" s="20" t="n">
        <x:f>D254*E254</x:f>
        <x:v>0.003128795314139675</x:v>
      </x:c>
      <x:c r="G254" s="20" t="n">
        <x:f>D254*(1+E254)/(1+SUM($F$246:$F$260))</x:f>
        <x:v>0.053220761743184845</x:v>
      </x:c>
      <x:c r="H254" s="22" t="n">
        <x:f>'Prices'!H286/'Prices'!I286-1</x:f>
        <x:v>-0.27355028137998527</x:v>
      </x:c>
    </x:row>
    <x:row r="255" ht="27" customHeight="1">
      <x:c r="A255" s="9" t="n">
        <x:v>46318</x:v>
      </x:c>
      <x:c r="B255" s="10" t="str">
        <x:v>Hesai</x:v>
      </x:c>
      <x:c r="C255" s="10" t="str">
        <x:v>HSAI</x:v>
      </x:c>
      <x:c r="D255" s="21" t="n">
        <x:f>G240</x:f>
        <x:v>0.05698867908558656</x:v>
      </x:c>
      <x:c r="E255" s="23" t="n">
        <x:f>'Prices'!H287/'Prices'!G287-1</x:f>
        <x:v>0.08154859967051076</x:v>
      </x:c>
      <x:c r="F255" s="21" t="n">
        <x:f>D255*E255</x:f>
        <x:v>0.004647346976501708</x:v>
      </x:c>
      <x:c r="G255" s="21" t="n">
        <x:f>D255*(1+E255)/(1+SUM($F$246:$F$260))</x:f>
        <x:v>0.0603843612516389</x:v>
      </x:c>
      <x:c r="H255" s="23" t="n">
        <x:f>'Prices'!H287/'Prices'!I287-1</x:f>
        <x:v>-0.1757689893283113</x:v>
      </x:c>
    </x:row>
    <x:row r="256" ht="27" customHeight="1">
      <x:c r="A256" s="8" t="n">
        <x:v>46318</x:v>
      </x:c>
      <x:c r="B256" s="2" t="str">
        <x:v>Rockwell Automation</x:v>
      </x:c>
      <x:c r="C256" s="2" t="str">
        <x:v>ROK</x:v>
      </x:c>
      <x:c r="D256" s="20" t="n">
        <x:f>G241</x:f>
        <x:v>0.0716397662681084</x:v>
      </x:c>
      <x:c r="E256" s="22" t="n">
        <x:f>'Prices'!H288/'Prices'!G288-1</x:f>
        <x:v>0.005284639158232407</x:v>
      </x:c>
      <x:c r="F256" s="20" t="n">
        <x:f>D256*E256</x:f>
        <x:v>0.0003785903141070628</x:v>
      </x:c>
      <x:c r="G256" s="20" t="n">
        <x:f>D256*(1+E256)/(1+SUM($F$246:$F$260))</x:f>
        <x:v>0.07055585407516626</x:v>
      </x:c>
      <x:c r="H256" s="22" t="n">
        <x:f>'Prices'!H288/'Prices'!I288-1</x:f>
        <x:v>-0.03693072663577801</x:v>
      </x:c>
    </x:row>
    <x:row r="257" ht="27" customHeight="1">
      <x:c r="A257" s="9" t="n">
        <x:v>46318</x:v>
      </x:c>
      <x:c r="B257" s="10" t="str">
        <x:v>Siemens</x:v>
      </x:c>
      <x:c r="C257" s="10" t="str">
        <x:v>SIE</x:v>
      </x:c>
      <x:c r="D257" s="21" t="n">
        <x:f>G242</x:f>
        <x:v>0.07032458861038246</x:v>
      </x:c>
      <x:c r="E257" s="23" t="n">
        <x:f>'Prices'!H289/'Prices'!G289-1</x:f>
        <x:v>0.00430191630817367</x:v>
      </x:c>
      <x:c r="F257" s="21" t="n">
        <x:f>D257*E257</x:f>
        <x:v>0.00030253049460860865</x:v>
      </x:c>
      <x:c r="G257" s="21" t="n">
        <x:f>D257*(1+E257)/(1+SUM($F$246:$F$260))</x:f>
        <x:v>0.06919286895463123</x:v>
      </x:c>
      <x:c r="H257" s="23" t="n">
        <x:f>'Prices'!H289/'Prices'!I289-1</x:f>
        <x:v>-0.05553512320706133</x:v>
      </x:c>
    </x:row>
    <x:row r="258" ht="27" customHeight="1">
      <x:c r="A258" s="8" t="n">
        <x:v>46318</x:v>
      </x:c>
      <x:c r="B258" s="2" t="str">
        <x:v>NXP Semiconductors</x:v>
      </x:c>
      <x:c r="C258" s="2" t="str">
        <x:v>NXPI</x:v>
      </x:c>
      <x:c r="D258" s="20" t="n">
        <x:f>G243</x:f>
        <x:v>0.07434234360854022</x:v>
      </x:c>
      <x:c r="E258" s="22" t="n">
        <x:f>'Prices'!H290/'Prices'!G290-1</x:f>
        <x:v>-0.012069473064468705</x:v>
      </x:c>
      <x:c r="F258" s="20" t="n">
        <x:f>D258*E258</x:f>
        <x:v>-0.0008972729137327535</x:v>
      </x:c>
      <x:c r="G258" s="20" t="n">
        <x:f>D258*(1+E258)/(1+SUM($F$246:$F$260))</x:f>
        <x:v>0.07195359539435489</x:v>
      </x:c>
      <x:c r="H258" s="22" t="n">
        <x:f>'Prices'!H290/'Prices'!I290-1</x:f>
        <x:v>-0.017851916886157504</x:v>
      </x:c>
    </x:row>
    <x:row r="259" ht="27" customHeight="1">
      <x:c r="A259" s="9" t="n">
        <x:v>46318</x:v>
      </x:c>
      <x:c r="B259" s="10" t="str">
        <x:v>Daifuku</x:v>
      </x:c>
      <x:c r="C259" s="10" t="str">
        <x:v>6383</x:v>
      </x:c>
      <x:c r="D259" s="21" t="n">
        <x:f>G244</x:f>
        <x:v>0.06670194721913338</x:v>
      </x:c>
      <x:c r="E259" s="23" t="n">
        <x:f>'Prices'!H291/'Prices'!G291-1</x:f>
        <x:v>-0.0005767012687427631</x:v>
      </x:c>
      <x:c r="F259" s="21" t="n">
        <x:f>D259*E259</x:f>
        <x:v>-0.000038467097588887034</x:v>
      </x:c>
      <x:c r="G259" s="21" t="n">
        <x:f>D259*(1+E259)/(1+SUM($F$246:$F$260))</x:f>
        <x:v>0.06530972100465764</x:v>
      </x:c>
      <x:c r="H259" s="23" t="n">
        <x:f>'Prices'!H291/'Prices'!I291-1</x:f>
        <x:v>-0.10853909465020573</x:v>
      </x:c>
    </x:row>
    <x:row r="260" ht="27" customHeight="1">
      <x:c r="A260" s="8" t="n">
        <x:v>46318</x:v>
      </x:c>
      <x:c r="B260" s="2" t="str">
        <x:v>Hexagon</x:v>
      </x:c>
      <x:c r="C260" s="2" t="str">
        <x:v>HEXA B</x:v>
      </x:c>
      <x:c r="D260" s="20" t="n">
        <x:f>G245</x:f>
        <x:v>0.07706829780439557</x:v>
      </x:c>
      <x:c r="E260" s="22" t="n">
        <x:f>'Prices'!H292/'Prices'!G292-1</x:f>
        <x:v>0.03919647231749135</x:v>
      </x:c>
      <x:c r="F260" s="20" t="n">
        <x:f>D260*E260</x:f>
        <x:v>0.0030208054014461702</x:v>
      </x:c>
      <x:c r="G260" s="20" t="n">
        <x:f>D260*(1+E260)/(1+SUM($F$246:$F$260))</x:f>
        <x:v>0.07846270516255746</x:v>
      </x:c>
      <x:c r="H260" s="22" t="n">
        <x:f>'Prices'!H292/'Prices'!I292-1</x:f>
        <x:v>0.07099575843263994</x:v>
      </x:c>
    </x:row>
    <x:row r="261" ht="27" customHeight="1">
      <x:c r="A261" s="9" t="n">
        <x:v>46321</x:v>
      </x:c>
      <x:c r="B261" s="10" t="str">
        <x:v>FANUC</x:v>
      </x:c>
      <x:c r="C261" s="10" t="str">
        <x:v>6954</x:v>
      </x:c>
      <x:c r="D261" s="21" t="n">
        <x:f>G246</x:f>
        <x:v>0.06680459222621804</x:v>
      </x:c>
      <x:c r="E261" s="23" t="n">
        <x:f>'Prices'!H295/'Prices'!G295-1</x:f>
        <x:v>0.009307320565598687</x:v>
      </x:c>
      <x:c r="F261" s="21" t="n">
        <x:f>D261*E261</x:f>
        <x:v>0.0006217717551035134</x:v>
      </x:c>
      <x:c r="G261" s="21" t="n">
        <x:f>D261*(1+E261)/(1+SUM($F$261:$F$275))</x:f>
        <x:v>0.06642293178139909</x:v>
      </x:c>
      <x:c r="H261" s="23" t="n">
        <x:f>'Prices'!H295/'Prices'!I295-1</x:f>
        <x:v>-0.07964746205320716</x:v>
      </x:c>
    </x:row>
    <x:row r="262" ht="27" customHeight="1">
      <x:c r="A262" s="8" t="n">
        <x:v>46321</x:v>
      </x:c>
      <x:c r="B262" s="2" t="str">
        <x:v>Yaskawa Electric</x:v>
      </x:c>
      <x:c r="C262" s="2" t="str">
        <x:v>6506</x:v>
      </x:c>
      <x:c r="D262" s="20" t="n">
        <x:f>G247</x:f>
        <x:v>0.06165674053163025</x:v>
      </x:c>
      <x:c r="E262" s="22" t="n">
        <x:f>'Prices'!H296/'Prices'!G296-1</x:f>
        <x:v>-0.01044256588761805</x:v>
      </x:c>
      <x:c r="F262" s="20" t="n">
        <x:f>D262*E262</x:f>
        <x:v>-0.0006438545754173192</x:v>
      </x:c>
      <x:c r="G262" s="20" t="n">
        <x:f>D262*(1+E262)/(1+SUM($F$261:$F$275))</x:f>
        <x:v>0.06010489847529789</x:v>
      </x:c>
      <x:c r="H262" s="22" t="n">
        <x:f>'Prices'!H296/'Prices'!I296-1</x:f>
        <x:v>-0.16718978865871525</x:v>
      </x:c>
    </x:row>
    <x:row r="263" ht="27" customHeight="1">
      <x:c r="A263" s="9" t="n">
        <x:v>46321</x:v>
      </x:c>
      <x:c r="B263" s="10" t="str">
        <x:v>Estun Automation</x:v>
      </x:c>
      <x:c r="C263" s="15" t="str">
        <x:v>002747</x:v>
      </x:c>
      <x:c r="D263" s="21" t="n">
        <x:f>G248</x:f>
        <x:v>0.07575369211680971</x:v>
      </x:c>
      <x:c r="E263" s="23" t="n">
        <x:f>'Prices'!H297/'Prices'!G297-1</x:f>
        <x:v>0.04832076764907467</x:v>
      </x:c>
      <x:c r="F263" s="21" t="n">
        <x:f>D263*E263</x:f>
        <x:v>0.0036604765553359016</x:v>
      </x:c>
      <x:c r="G263" s="21" t="n">
        <x:f>D263*(1+E263)/(1+SUM($F$261:$F$275))</x:f>
        <x:v>0.07823233519825727</x:v>
      </x:c>
      <x:c r="H263" s="23" t="n">
        <x:f>'Prices'!H297/'Prices'!I297-1</x:f>
        <x:v>0.08398299078667626</x:v>
      </x:c>
    </x:row>
    <x:row r="264" ht="27" customHeight="1">
      <x:c r="A264" s="8" t="n">
        <x:v>46321</x:v>
      </x:c>
      <x:c r="B264" s="2" t="str">
        <x:v>Teradyne</x:v>
      </x:c>
      <x:c r="C264" s="2" t="str">
        <x:v>TER</x:v>
      </x:c>
      <x:c r="D264" s="20" t="n">
        <x:f>G249</x:f>
        <x:v>0.05441881643358777</x:v>
      </x:c>
      <x:c r="E264" s="22" t="n">
        <x:f>'Prices'!H298/'Prices'!G298-1</x:f>
        <x:v>0.00048567265662935455</x:v>
      </x:c>
      <x:c r="F264" s="20" t="n">
        <x:f>D264*E264</x:f>
        <x:v>0.00002642973114792575</x:v>
      </x:c>
      <x:c r="G264" s="20" t="n">
        <x:f>D264*(1+E264)/(1+SUM($F$261:$F$275))</x:f>
        <x:v>0.05363499762234752</x:v>
      </x:c>
      <x:c r="H264" s="22" t="n">
        <x:f>'Prices'!H298/'Prices'!I298-1</x:f>
        <x:v>-0.25683638375141304</x:v>
      </x:c>
    </x:row>
    <x:row r="265" ht="27" customHeight="1">
      <x:c r="A265" s="9" t="n">
        <x:v>46321</x:v>
      </x:c>
      <x:c r="B265" s="10" t="str">
        <x:v>Nabtesco</x:v>
      </x:c>
      <x:c r="C265" s="10" t="str">
        <x:v>6268</x:v>
      </x:c>
      <x:c r="D265" s="21" t="n">
        <x:f>G250</x:f>
        <x:v>0.060641339189069256</x:v>
      </x:c>
      <x:c r="E265" s="23" t="n">
        <x:f>'Prices'!H299/'Prices'!G299-1</x:f>
        <x:v>0.005342399222923788</x:v>
      </x:c>
      <x:c r="F265" s="21" t="n">
        <x:f>D265*E265</x:f>
        <x:v>0.0003239702433607415</x:v>
      </x:c>
      <x:c r="G265" s="21" t="n">
        <x:f>D265*(1+E265)/(1+SUM($F$261:$F$275))</x:f>
        <x:v>0.060058029980438736</x:v>
      </x:c>
      <x:c r="H265" s="23" t="n">
        <x:f>'Prices'!H299/'Prices'!I299-1</x:f>
        <x:v>-0.1678391959798995</x:v>
      </x:c>
    </x:row>
    <x:row r="266" ht="27" customHeight="1">
      <x:c r="A266" s="8" t="n">
        <x:v>46321</x:v>
      </x:c>
      <x:c r="B266" s="2" t="str">
        <x:v>Inovance</x:v>
      </x:c>
      <x:c r="C266" s="2" t="str">
        <x:v>300124</x:v>
      </x:c>
      <x:c r="D266" s="20" t="n">
        <x:f>G251</x:f>
        <x:v>0.07551999465624695</x:v>
      </x:c>
      <x:c r="E266" s="22" t="n">
        <x:f>'Prices'!H300/'Prices'!G300-1</x:f>
        <x:v>0.032710280373831724</x:v>
      </x:c>
      <x:c r="F266" s="20" t="n">
        <x:f>D266*E266</x:f>
        <x:v>0.0024702801990361114</x:v>
      </x:c>
      <x:c r="G266" s="20" t="n">
        <x:f>D266*(1+E266)/(1+SUM($F$261:$F$275))</x:f>
        <x:v>0.07682963162243318</x:v>
      </x:c>
      <x:c r="H266" s="22" t="n">
        <x:f>'Prices'!H300/'Prices'!I300-1</x:f>
        <x:v>0.06454720616570331</x:v>
      </x:c>
    </x:row>
    <x:row r="267" ht="27" customHeight="1">
      <x:c r="A267" s="9" t="n">
        <x:v>46321</x:v>
      </x:c>
      <x:c r="B267" s="10" t="str">
        <x:v>Keyence</x:v>
      </x:c>
      <x:c r="C267" s="10" t="str">
        <x:v>6861</x:v>
      </x:c>
      <x:c r="D267" s="21" t="n">
        <x:f>G252</x:f>
        <x:v>0.07071715107546364</x:v>
      </x:c>
      <x:c r="E267" s="23" t="n">
        <x:f>'Prices'!H301/'Prices'!G301-1</x:f>
        <x:v>-0.014161775963255963</x:v>
      </x:c>
      <x:c r="F267" s="21" t="n">
        <x:f>D267*E267</x:f>
        <x:v>-0.0010014804502904416</x:v>
      </x:c>
      <x:c r="G267" s="21" t="n">
        <x:f>D267*(1+E267)/(1+SUM($F$261:$F$275))</x:f>
        <x:v>0.06867816919970902</x:v>
      </x:c>
      <x:c r="H267" s="23" t="n">
        <x:f>'Prices'!H301/'Prices'!I301-1</x:f>
        <x:v>-0.04839901477832509</x:v>
      </x:c>
    </x:row>
    <x:row r="268" ht="27" customHeight="1">
      <x:c r="A268" s="8" t="n">
        <x:v>46321</x:v>
      </x:c>
      <x:c r="B268" s="2" t="str">
        <x:v>Cognex</x:v>
      </x:c>
      <x:c r="C268" s="2" t="str">
        <x:v>CGNX</x:v>
      </x:c>
      <x:c r="D268" s="20" t="n">
        <x:f>G253</x:f>
        <x:v>0.06540780618478274</x:v>
      </x:c>
      <x:c r="E268" s="22" t="n">
        <x:f>'Prices'!H302/'Prices'!G302-1</x:f>
        <x:v>0.001440144014401623</x:v>
      </x:c>
      <x:c r="F268" s="20" t="n">
        <x:f>D268*E268</x:f>
        <x:v>0.00009419666057215633</x:v>
      </x:c>
      <x:c r="G268" s="20" t="n">
        <x:f>D268*(1+E268)/(1+SUM($F$261:$F$275))</x:f>
        <x:v>0.06452720878953648</x:v>
      </x:c>
      <x:c r="H268" s="22" t="n">
        <x:f>'Prices'!H302/'Prices'!I302-1</x:f>
        <x:v>-0.10591449694631949</x:v>
      </x:c>
    </x:row>
    <x:row r="269" ht="27" customHeight="1">
      <x:c r="A269" s="9" t="n">
        <x:v>46321</x:v>
      </x:c>
      <x:c r="B269" s="10" t="str">
        <x:v>Ouster</x:v>
      </x:c>
      <x:c r="C269" s="10" t="str">
        <x:v>OUST</x:v>
      </x:c>
      <x:c r="D269" s="21" t="n">
        <x:f>G254</x:f>
        <x:v>0.053220761743184845</x:v>
      </x:c>
      <x:c r="E269" s="23" t="n">
        <x:f>'Prices'!H303/'Prices'!G303-1</x:f>
        <x:v>0.000673627484001349</x:v>
      </x:c>
      <x:c r="F269" s="21" t="n">
        <x:f>D269*E269</x:f>
        <x:v>0.000035850967829696855</x:v>
      </x:c>
      <x:c r="G269" s="21" t="n">
        <x:f>D269*(1+E269)/(1+SUM($F$261:$F$275))</x:f>
        <x:v>0.052464053289186074</x:v>
      </x:c>
      <x:c r="H269" s="23" t="n">
        <x:f>'Prices'!H303/'Prices'!I303-1</x:f>
        <x:v>-0.27306092488377776</x:v>
      </x:c>
    </x:row>
    <x:row r="270" ht="27" customHeight="1">
      <x:c r="A270" s="8" t="n">
        <x:v>46321</x:v>
      </x:c>
      <x:c r="B270" s="2" t="str">
        <x:v>Hesai</x:v>
      </x:c>
      <x:c r="C270" s="2" t="str">
        <x:v>HSAI</x:v>
      </x:c>
      <x:c r="D270" s="20" t="n">
        <x:f>G255</x:f>
        <x:v>0.0603843612516389</x:v>
      </x:c>
      <x:c r="E270" s="22" t="n">
        <x:f>'Prices'!H304/'Prices'!G304-1</x:f>
        <x:v>0.04265041888804255</x:v>
      </x:c>
      <x:c r="F270" s="20" t="n">
        <x:f>D270*E270</x:f>
        <x:v>0.0025754183016692845</x:v>
      </x:c>
      <x:c r="G270" s="20" t="n">
        <x:f>D270*(1+E270)/(1+SUM($F$261:$F$275))</x:f>
        <x:v>0.062022818602524746</x:v>
      </x:c>
      <x:c r="H270" s="22" t="n">
        <x:f>'Prices'!H304/'Prices'!I304-1</x:f>
        <x:v>-0.14061519146264911</x:v>
      </x:c>
    </x:row>
    <x:row r="271" ht="27" customHeight="1">
      <x:c r="A271" s="9" t="n">
        <x:v>46321</x:v>
      </x:c>
      <x:c r="B271" s="10" t="str">
        <x:v>Rockwell Automation</x:v>
      </x:c>
      <x:c r="C271" s="10" t="str">
        <x:v>ROK</x:v>
      </x:c>
      <x:c r="D271" s="21" t="n">
        <x:f>G256</x:f>
        <x:v>0.07055585407516626</x:v>
      </x:c>
      <x:c r="E271" s="23" t="n">
        <x:f>'Prices'!H305/'Prices'!G305-1</x:f>
        <x:v>0.008870948816033453</x:v>
      </x:c>
      <x:c r="F271" s="21" t="n">
        <x:f>D271*E271</x:f>
        <x:v>0.0006258973701723252</x:v>
      </x:c>
      <x:c r="G271" s="21" t="n">
        <x:f>D271*(1+E271)/(1+SUM($F$261:$F$275))</x:f>
        <x:v>0.07012243195620053</x:v>
      </x:c>
      <x:c r="H271" s="23" t="n">
        <x:f>'Prices'!H305/'Prices'!I305-1</x:f>
        <x:v>-0.028387388405469505</x:v>
      </x:c>
    </x:row>
    <x:row r="272" ht="27" customHeight="1">
      <x:c r="A272" s="8" t="n">
        <x:v>46321</x:v>
      </x:c>
      <x:c r="B272" s="2" t="str">
        <x:v>Siemens</x:v>
      </x:c>
      <x:c r="C272" s="2" t="str">
        <x:v>SIE</x:v>
      </x:c>
      <x:c r="D272" s="20" t="n">
        <x:f>G257</x:f>
        <x:v>0.06919286895463123</x:v>
      </x:c>
      <x:c r="E272" s="22" t="n">
        <x:f>'Prices'!H306/'Prices'!G306-1</x:f>
        <x:v>0.01791277258566959</x:v>
      </x:c>
      <x:c r="F272" s="20" t="n">
        <x:f>D272*E272</x:f>
        <x:v>0.0012394361261343467</x:v>
      </x:c>
      <x:c r="G272" s="20" t="n">
        <x:f>D272*(1+E272)/(1+SUM($F$261:$F$275))</x:f>
        <x:v>0.06938413877518841</x:v>
      </x:c>
      <x:c r="H272" s="22" t="n">
        <x:f>'Prices'!H306/'Prices'!I306-1</x:f>
        <x:v>-0.038617138653916916</x:v>
      </x:c>
    </x:row>
    <x:row r="273" ht="27" customHeight="1">
      <x:c r="A273" s="9" t="n">
        <x:v>46321</x:v>
      </x:c>
      <x:c r="B273" s="10" t="str">
        <x:v>NXP Semiconductors</x:v>
      </x:c>
      <x:c r="C273" s="10" t="str">
        <x:v>NXPI</x:v>
      </x:c>
      <x:c r="D273" s="21" t="n">
        <x:f>G258</x:f>
        <x:v>0.07195359539435489</x:v>
      </x:c>
      <x:c r="E273" s="23" t="n">
        <x:f>'Prices'!H307/'Prices'!G307-1</x:f>
        <x:v>0.046441341733356234</x:v>
      </x:c>
      <x:c r="F273" s="21" t="n">
        <x:f>D273*E273</x:f>
        <x:v>0.0033416215126528827</x:v>
      </x:c>
      <x:c r="G273" s="21" t="n">
        <x:f>D273*(1+E273)/(1+SUM($F$261:$F$275))</x:f>
        <x:v>0.07417468124879598</x:v>
      </x:c>
      <x:c r="H273" s="23" t="n">
        <x:f>'Prices'!H307/'Prices'!I307-1</x:f>
        <x:v>0.027760357874493158</x:v>
      </x:c>
    </x:row>
    <x:row r="274" ht="27" customHeight="1">
      <x:c r="A274" s="8" t="n">
        <x:v>46321</x:v>
      </x:c>
      <x:c r="B274" s="2" t="str">
        <x:v>Daifuku</x:v>
      </x:c>
      <x:c r="C274" s="2" t="str">
        <x:v>6383</x:v>
      </x:c>
      <x:c r="D274" s="20" t="n">
        <x:f>G259</x:f>
        <x:v>0.06530972100465764</x:v>
      </x:c>
      <x:c r="E274" s="22" t="n">
        <x:f>'Prices'!H308/'Prices'!G308-1</x:f>
        <x:v>-0.011925370263512258</x:v>
      </x:c>
      <x:c r="F274" s="20" t="n">
        <x:f>D274*E274</x:f>
        <x:v>-0.0007788426047872261</x:v>
      </x:c>
      <x:c r="G274" s="20" t="n">
        <x:f>D274*(1+E274)/(1+SUM($F$261:$F$275))</x:f>
        <x:v>0.06357053651796724</x:v>
      </x:c>
      <x:c r="H274" s="22" t="n">
        <x:f>'Prices'!H308/'Prices'!I308-1</x:f>
        <x:v>-0.11917009602194784</x:v>
      </x:c>
    </x:row>
    <x:row r="275" ht="27" customHeight="1">
      <x:c r="A275" s="9" t="n">
        <x:v>46321</x:v>
      </x:c>
      <x:c r="B275" s="10" t="str">
        <x:v>Hexagon</x:v>
      </x:c>
      <x:c r="C275" s="10" t="str">
        <x:v>HEXA B</x:v>
      </x:c>
      <x:c r="D275" s="21" t="n">
        <x:f>G260</x:f>
        <x:v>0.07846270516255746</x:v>
      </x:c>
      <x:c r="E275" s="23" t="n">
        <x:f>'Prices'!H309/'Prices'!G309-1</x:f>
        <x:v>0.03206034889203213</x:v>
      </x:c>
      <x:c r="F275" s="21" t="n">
        <x:f>D275*E275</x:f>
        <x:v>0.002515541702524243</x:v>
      </x:c>
      <x:c r="G275" s="21" t="n">
        <x:f>D275*(1+E275)/(1+SUM($F$261:$F$275))</x:f>
        <x:v>0.07977313694071736</x:v>
      </x:c>
      <x:c r="H275" s="23" t="n">
        <x:f>'Prices'!H309/'Prices'!I309-1</x:f>
        <x:v>0.10533225610987684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28c3949a75bb470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  <x:row r="227" ht="50" customHeight="1">
      <x:c r="A227" s="9" t="n">
        <x:v>46315</x:v>
      </x:c>
      <x:c r="B227" s="10" t="str">
        <x:v>6954</x:v>
      </x:c>
      <x:c r="C227" s="33" t="n">
        <x:v>5788</x:v>
      </x:c>
      <x:c r="D227" s="33" t="n">
        <x:v>5788</x:v>
      </x:c>
      <x:c r="E227" s="33" t="n">
        <x:v>0</x:v>
      </x:c>
      <x:c r="F227" s="37" t="n">
        <x:v>1</x:v>
      </x:c>
      <x:c r="G227" s="10" t="str">
        <x:v>XJPX</x:v>
      </x:c>
      <x:c r="H227" s="10" t="str">
        <x:v>XJPX</x:v>
      </x:c>
      <x:c r="I227" s="32" t="str">
        <x:f>IF(AND(G227=H227,C227&gt;0,ABS(C227-'Prices'!H227)&lt;=MAX(0.01,'Prices'!H227*0.000001)),"Match","Mismatch")</x:f>
        <x:v>Match</x:v>
      </x:c>
      <x:c r="J227" s="16" t="str">
        <x:v>data/bspi15/raw/marketstack/2026-10-21T11-35-39-133Z/constituents-v2.json</x:v>
      </x:c>
      <x:c r="K227" s="16" t="str"/>
      <x:c r="L227" s="39" t="n">
        <x:v>46316.48309181713</x:v>
      </x:c>
      <x:c r="M227" s="16" t="str"/>
    </x:row>
    <x:row r="228" ht="50" customHeight="1">
      <x:c r="A228" s="8" t="n">
        <x:v>46315</x:v>
      </x:c>
      <x:c r="B228" s="2" t="str">
        <x:v>6506</x:v>
      </x:c>
      <x:c r="C228" s="17" t="n">
        <x:v>4277</x:v>
      </x:c>
      <x:c r="D228" s="17" t="n">
        <x:v>4277</x:v>
      </x:c>
      <x:c r="E228" s="17" t="n">
        <x:v>0</x:v>
      </x:c>
      <x:c r="F228" s="36" t="n">
        <x:v>1</x:v>
      </x:c>
      <x:c r="G228" s="2" t="str">
        <x:v>XJPX</x:v>
      </x:c>
      <x:c r="H228" s="2" t="str">
        <x:v>XJPX</x:v>
      </x:c>
      <x:c r="I228" s="31" t="str">
        <x:f>IF(AND(G228=H228,C228&gt;0,ABS(C228-'Prices'!H228)&lt;=MAX(0.01,'Prices'!H228*0.000001)),"Match","Mismatch")</x:f>
        <x:v>Match</x:v>
      </x:c>
      <x:c r="J228" s="14" t="str">
        <x:v>data/bspi15/raw/marketstack/2026-10-21T11-35-39-133Z/constituents-v2.json</x:v>
      </x:c>
      <x:c r="K228" s="14" t="str"/>
      <x:c r="L228" s="38" t="n">
        <x:v>46316.48309181713</x:v>
      </x:c>
      <x:c r="M228" s="14" t="str"/>
    </x:row>
    <x:row r="229" ht="50" customHeight="1">
      <x:c r="A229" s="9" t="n">
        <x:v>46315</x:v>
      </x:c>
      <x:c r="B229" s="15" t="str">
        <x:v>002747</x:v>
      </x:c>
      <x:c r="C229" s="33" t="n">
        <x:v>26.3</x:v>
      </x:c>
      <x:c r="D229" s="33" t="n">
        <x:v>26.3</x:v>
      </x:c>
      <x:c r="E229" s="33" t="n">
        <x:v>0</x:v>
      </x:c>
      <x:c r="F229" s="37" t="n">
        <x:v>1</x:v>
      </x:c>
      <x:c r="G229" s="10" t="str">
        <x:v>XSHE</x:v>
      </x:c>
      <x:c r="H229" s="10" t="str">
        <x:v>XSHE</x:v>
      </x:c>
      <x:c r="I229" s="32" t="str">
        <x:f>IF(AND(G229=H229,C229&gt;0,ABS(C229-'Prices'!H229)&lt;=MAX(0.01,'Prices'!H229*0.000001)),"Match","Mismatch")</x:f>
        <x:v>Match</x:v>
      </x:c>
      <x:c r="J229" s="16" t="str">
        <x:v>data/bspi15/raw/marketstack/2026-10-21T11-35-39-133Z/constituents-v2.json</x:v>
      </x:c>
      <x:c r="K229" s="16" t="str"/>
      <x:c r="L229" s="39" t="n">
        <x:v>46316.48309181713</x:v>
      </x:c>
      <x:c r="M229" s="16" t="str"/>
    </x:row>
    <x:row r="230" ht="50" customHeight="1">
      <x:c r="A230" s="8" t="n">
        <x:v>46315</x:v>
      </x:c>
      <x:c r="B230" s="2" t="str">
        <x:v>TER</x:v>
      </x:c>
      <x:c r="C230" s="17" t="n">
        <x:v>336.59</x:v>
      </x:c>
      <x:c r="D230" s="17" t="n">
        <x:v>336.59</x:v>
      </x:c>
      <x:c r="E230" s="17" t="n">
        <x:v>0</x:v>
      </x:c>
      <x:c r="F230" s="36" t="n">
        <x:v>1</x:v>
      </x:c>
      <x:c r="G230" s="2" t="str">
        <x:v>XNAS</x:v>
      </x:c>
      <x:c r="H230" s="2" t="str">
        <x:v>XNAS</x:v>
      </x:c>
      <x:c r="I230" s="31" t="str">
        <x:f>IF(AND(G230=H230,C230&gt;0,ABS(C230-'Prices'!H230)&lt;=MAX(0.01,'Prices'!H230*0.000001)),"Match","Mismatch")</x:f>
        <x:v>Match</x:v>
      </x:c>
      <x:c r="J230" s="14" t="str">
        <x:v>data/bspi15/raw/marketstack/2026-10-21T11-35-39-133Z/constituents-v2.json</x:v>
      </x:c>
      <x:c r="K230" s="14" t="str"/>
      <x:c r="L230" s="38" t="n">
        <x:v>46316.48309181713</x:v>
      </x:c>
      <x:c r="M230" s="14" t="str"/>
    </x:row>
    <x:row r="231" ht="50" customHeight="1">
      <x:c r="A231" s="9" t="n">
        <x:v>46315</x:v>
      </x:c>
      <x:c r="B231" s="10" t="str">
        <x:v>6268</x:v>
      </x:c>
      <x:c r="C231" s="33" t="n">
        <x:v>4293</x:v>
      </x:c>
      <x:c r="D231" s="33" t="n">
        <x:v>4293</x:v>
      </x:c>
      <x:c r="E231" s="33" t="n">
        <x:v>0</x:v>
      </x:c>
      <x:c r="F231" s="37" t="n">
        <x:v>1</x:v>
      </x:c>
      <x:c r="G231" s="10" t="str">
        <x:v>XJPX</x:v>
      </x:c>
      <x:c r="H231" s="10" t="str">
        <x:v>XJPX</x:v>
      </x:c>
      <x:c r="I231" s="32" t="str">
        <x:f>IF(AND(G231=H231,C231&gt;0,ABS(C231-'Prices'!H231)&lt;=MAX(0.01,'Prices'!H231*0.000001)),"Match","Mismatch")</x:f>
        <x:v>Match</x:v>
      </x:c>
      <x:c r="J231" s="16" t="str">
        <x:v>data/bspi15/raw/marketstack/2026-10-21T11-35-39-133Z/constituents-v2.json</x:v>
      </x:c>
      <x:c r="K231" s="16" t="str"/>
      <x:c r="L231" s="39" t="n">
        <x:v>46316.48309181713</x:v>
      </x:c>
      <x:c r="M231" s="16" t="str"/>
    </x:row>
    <x:row r="232" ht="50" customHeight="1">
      <x:c r="A232" s="8" t="n">
        <x:v>46315</x:v>
      </x:c>
      <x:c r="B232" s="2" t="str">
        <x:v>300124</x:v>
      </x:c>
      <x:c r="C232" s="17" t="n">
        <x:v>50.8</x:v>
      </x:c>
      <x:c r="D232" s="17" t="n">
        <x:v>50.8</x:v>
      </x:c>
      <x:c r="E232" s="17" t="n">
        <x:v>0</x:v>
      </x:c>
      <x:c r="F232" s="36" t="n">
        <x:v>1</x:v>
      </x:c>
      <x:c r="G232" s="2" t="str">
        <x:v>XSHE</x:v>
      </x:c>
      <x:c r="H232" s="2" t="str">
        <x:v>XSHE</x:v>
      </x:c>
      <x:c r="I232" s="31" t="str">
        <x:f>IF(AND(G232=H232,C232&gt;0,ABS(C232-'Prices'!H232)&lt;=MAX(0.01,'Prices'!H232*0.000001)),"Match","Mismatch")</x:f>
        <x:v>Match</x:v>
      </x:c>
      <x:c r="J232" s="14" t="str">
        <x:v>data/bspi15/raw/marketstack/2026-10-21T11-35-39-133Z/constituents-v2.json</x:v>
      </x:c>
      <x:c r="K232" s="14" t="str"/>
      <x:c r="L232" s="38" t="n">
        <x:v>46316.48309181713</x:v>
      </x:c>
      <x:c r="M232" s="14" t="str"/>
    </x:row>
    <x:row r="233" ht="50" customHeight="1">
      <x:c r="A233" s="9" t="n">
        <x:v>46315</x:v>
      </x:c>
      <x:c r="B233" s="10" t="str">
        <x:v>6861</x:v>
      </x:c>
      <x:c r="C233" s="33" t="n">
        <x:v>80910</x:v>
      </x:c>
      <x:c r="D233" s="33" t="n">
        <x:v>80910</x:v>
      </x:c>
      <x:c r="E233" s="33" t="n">
        <x:v>0</x:v>
      </x:c>
      <x:c r="F233" s="37" t="n">
        <x:v>1</x:v>
      </x:c>
      <x:c r="G233" s="10" t="str">
        <x:v>XJPX</x:v>
      </x:c>
      <x:c r="H233" s="10" t="str">
        <x:v>XJPX</x:v>
      </x:c>
      <x:c r="I233" s="32" t="str">
        <x:f>IF(AND(G233=H233,C233&gt;0,ABS(C233-'Prices'!H233)&lt;=MAX(0.01,'Prices'!H233*0.000001)),"Match","Mismatch")</x:f>
        <x:v>Match</x:v>
      </x:c>
      <x:c r="J233" s="16" t="str">
        <x:v>data/bspi15/raw/marketstack/2026-10-21T11-35-39-133Z/constituents-v2.json</x:v>
      </x:c>
      <x:c r="K233" s="16" t="str"/>
      <x:c r="L233" s="39" t="n">
        <x:v>46316.48309181713</x:v>
      </x:c>
      <x:c r="M233" s="16" t="str"/>
    </x:row>
    <x:row r="234" ht="50" customHeight="1">
      <x:c r="A234" s="8" t="n">
        <x:v>46315</x:v>
      </x:c>
      <x:c r="B234" s="2" t="str">
        <x:v>CGNX</x:v>
      </x:c>
      <x:c r="C234" s="17" t="n">
        <x:v>56.77</x:v>
      </x:c>
      <x:c r="D234" s="17" t="n">
        <x:v>56.77</x:v>
      </x:c>
      <x:c r="E234" s="17" t="n">
        <x:v>0</x:v>
      </x:c>
      <x:c r="F234" s="36" t="n">
        <x:v>1</x:v>
      </x:c>
      <x:c r="G234" s="2" t="str">
        <x:v>XNAS</x:v>
      </x:c>
      <x:c r="H234" s="2" t="str">
        <x:v>XNAS</x:v>
      </x:c>
      <x:c r="I234" s="31" t="str">
        <x:f>IF(AND(G234=H234,C234&gt;0,ABS(C234-'Prices'!H234)&lt;=MAX(0.01,'Prices'!H234*0.000001)),"Match","Mismatch")</x:f>
        <x:v>Match</x:v>
      </x:c>
      <x:c r="J234" s="14" t="str">
        <x:v>data/bspi15/raw/marketstack/2026-10-21T11-35-39-133Z/constituents-v2.json</x:v>
      </x:c>
      <x:c r="K234" s="14" t="str"/>
      <x:c r="L234" s="38" t="n">
        <x:v>46316.48309181713</x:v>
      </x:c>
      <x:c r="M234" s="14" t="str"/>
    </x:row>
    <x:row r="235" ht="50" customHeight="1">
      <x:c r="A235" s="9" t="n">
        <x:v>46315</x:v>
      </x:c>
      <x:c r="B235" s="10" t="str">
        <x:v>OUST</x:v>
      </x:c>
      <x:c r="C235" s="33" t="n">
        <x:v>29.65</x:v>
      </x:c>
      <x:c r="D235" s="33" t="n">
        <x:v>29.65</x:v>
      </x:c>
      <x:c r="E235" s="33" t="n">
        <x:v>0</x:v>
      </x:c>
      <x:c r="F235" s="37" t="n">
        <x:v>1</x:v>
      </x:c>
      <x:c r="G235" s="10" t="str">
        <x:v>XNAS</x:v>
      </x:c>
      <x:c r="H235" s="10" t="str">
        <x:v>XNYS</x:v>
      </x:c>
      <x:c r="I235" s="32" t="str">
        <x:f>IF(AND(OR(G235=H235,AND(B235="OUST",G235="XNAS",H235="XNYS",LEFT(M235,34)="ouster-marketstack-legacy-nyse-tag")),C235&gt;0,ABS(C235-'Prices'!H235)&lt;=MAX(0.01,'Prices'!H235*0.000001)),"Approved MIC exception","Mismatch")</x:f>
        <x:v>Approved MIC exception</x:v>
      </x:c>
      <x:c r="J235" s="16" t="str">
        <x:v>data/bspi15/raw/marketstack/2026-10-21T11-35-39-133Z/constituents-v2.json</x:v>
      </x:c>
      <x:c r="K235" s="16" t="str"/>
      <x:c r="L235" s="39" t="n">
        <x:v>46316.48309181713</x:v>
      </x:c>
      <x:c r="M235" s="16" t="str">
        <x:v>ouster-marketstack-legacy-nyse-tag; approved 2026-10-14; data/bspi15/provider-mic-exceptions.json</x:v>
      </x:c>
    </x:row>
    <x:row r="236" ht="50" customHeight="1">
      <x:c r="A236" s="8" t="n">
        <x:v>46315</x:v>
      </x:c>
      <x:c r="B236" s="2" t="str">
        <x:v>HSAI</x:v>
      </x:c>
      <x:c r="C236" s="17" t="n">
        <x:v>13.99</x:v>
      </x:c>
      <x:c r="D236" s="17" t="n">
        <x:v>13.99</x:v>
      </x:c>
      <x:c r="E236" s="17" t="n">
        <x:v>0</x:v>
      </x:c>
      <x:c r="F236" s="36" t="n">
        <x:v>1</x:v>
      </x:c>
      <x:c r="G236" s="2" t="str">
        <x:v>XNAS</x:v>
      </x:c>
      <x:c r="H236" s="2" t="str">
        <x:v>XNAS</x:v>
      </x:c>
      <x:c r="I236" s="31" t="str">
        <x:f>IF(AND(G236=H236,C236&gt;0,ABS(C236-'Prices'!H236)&lt;=MAX(0.01,'Prices'!H236*0.000001)),"Match","Mismatch")</x:f>
        <x:v>Match</x:v>
      </x:c>
      <x:c r="J236" s="14" t="str">
        <x:v>data/bspi15/raw/marketstack/2026-10-21T11-35-39-133Z/constituents-v2.json</x:v>
      </x:c>
      <x:c r="K236" s="14" t="str"/>
      <x:c r="L236" s="38" t="n">
        <x:v>46316.48309181713</x:v>
      </x:c>
      <x:c r="M236" s="14" t="str"/>
    </x:row>
    <x:row r="237" ht="50" customHeight="1">
      <x:c r="A237" s="9" t="n">
        <x:v>46315</x:v>
      </x:c>
      <x:c r="B237" s="10" t="str">
        <x:v>ROK</x:v>
      </x:c>
      <x:c r="C237" s="33" t="n">
        <x:v>427.77</x:v>
      </x:c>
      <x:c r="D237" s="33" t="n">
        <x:v>427.77</x:v>
      </x:c>
      <x:c r="E237" s="33" t="n">
        <x:v>0</x:v>
      </x:c>
      <x:c r="F237" s="37" t="n">
        <x:v>1</x:v>
      </x:c>
      <x:c r="G237" s="10" t="str">
        <x:v>XNYS</x:v>
      </x:c>
      <x:c r="H237" s="10" t="str">
        <x:v>XNYS</x:v>
      </x:c>
      <x:c r="I237" s="32" t="str">
        <x:f>IF(AND(G237=H237,C237&gt;0,ABS(C237-'Prices'!H237)&lt;=MAX(0.01,'Prices'!H237*0.000001)),"Match","Mismatch")</x:f>
        <x:v>Match</x:v>
      </x:c>
      <x:c r="J237" s="16" t="str">
        <x:v>data/bspi15/raw/marketstack/2026-10-21T11-35-39-133Z/constituents-v2.json</x:v>
      </x:c>
      <x:c r="K237" s="16" t="str"/>
      <x:c r="L237" s="39" t="n">
        <x:v>46316.48309181713</x:v>
      </x:c>
      <x:c r="M237" s="16" t="str"/>
    </x:row>
    <x:row r="238" ht="50" customHeight="1">
      <x:c r="A238" s="8" t="n">
        <x:v>46315</x:v>
      </x:c>
      <x:c r="B238" s="2" t="str">
        <x:v>SIE</x:v>
      </x:c>
      <x:c r="C238" s="17" t="n">
        <x:v>260.25</x:v>
      </x:c>
      <x:c r="D238" s="17" t="n">
        <x:v>260.25</x:v>
      </x:c>
      <x:c r="E238" s="17" t="n">
        <x:v>0</x:v>
      </x:c>
      <x:c r="F238" s="36" t="n">
        <x:v>1</x:v>
      </x:c>
      <x:c r="G238" s="2" t="str">
        <x:v>XETR</x:v>
      </x:c>
      <x:c r="H238" s="2" t="str">
        <x:v>XETR</x:v>
      </x:c>
      <x:c r="I238" s="31" t="str">
        <x:f>IF(AND(G238=H238,C238&gt;0,ABS(C238-'Prices'!H238)&lt;=MAX(0.01,'Prices'!H238*0.000001)),"Match","Mismatch")</x:f>
        <x:v>Match</x:v>
      </x:c>
      <x:c r="J238" s="14" t="str">
        <x:v>data/bspi15/raw/marketstack/2026-10-21T11-35-39-133Z/constituents-v2.json</x:v>
      </x:c>
      <x:c r="K238" s="14" t="str"/>
      <x:c r="L238" s="38" t="n">
        <x:v>46316.48309181713</x:v>
      </x:c>
      <x:c r="M238" s="14" t="str"/>
    </x:row>
    <x:row r="239" ht="50" customHeight="1">
      <x:c r="A239" s="9" t="n">
        <x:v>46315</x:v>
      </x:c>
      <x:c r="B239" s="10" t="str">
        <x:v>NXPI</x:v>
      </x:c>
      <x:c r="C239" s="33" t="n">
        <x:v>237.6</x:v>
      </x:c>
      <x:c r="D239" s="33" t="n">
        <x:v>237.6</x:v>
      </x:c>
      <x:c r="E239" s="33" t="n">
        <x:v>0</x:v>
      </x:c>
      <x:c r="F239" s="37" t="n">
        <x:v>1</x:v>
      </x:c>
      <x:c r="G239" s="10" t="str">
        <x:v>XNAS</x:v>
      </x:c>
      <x:c r="H239" s="10" t="str">
        <x:v>XNAS</x:v>
      </x:c>
      <x:c r="I239" s="32" t="str">
        <x:f>IF(AND(G239=H239,C239&gt;0,ABS(C239-'Prices'!H239)&lt;=MAX(0.01,'Prices'!H239*0.000001)),"Match","Mismatch")</x:f>
        <x:v>Match</x:v>
      </x:c>
      <x:c r="J239" s="16" t="str">
        <x:v>data/bspi15/raw/marketstack/2026-10-21T11-35-39-133Z/constituents-v2.json</x:v>
      </x:c>
      <x:c r="K239" s="16" t="str"/>
      <x:c r="L239" s="39" t="n">
        <x:v>46316.48309181713</x:v>
      </x:c>
      <x:c r="M239" s="16" t="str"/>
    </x:row>
    <x:row r="240" ht="50" customHeight="1">
      <x:c r="A240" s="8" t="n">
        <x:v>46315</x:v>
      </x:c>
      <x:c r="B240" s="2" t="str">
        <x:v>6383</x:v>
      </x:c>
      <x:c r="C240" s="17" t="n">
        <x:v>5347</x:v>
      </x:c>
      <x:c r="D240" s="17" t="n">
        <x:v>5347</x:v>
      </x:c>
      <x:c r="E240" s="17" t="n">
        <x:v>0</x:v>
      </x:c>
      <x:c r="F240" s="36" t="n">
        <x:v>1</x:v>
      </x:c>
      <x:c r="G240" s="2" t="str">
        <x:v>XJPX</x:v>
      </x:c>
      <x:c r="H240" s="2" t="str">
        <x:v>XJPX</x:v>
      </x:c>
      <x:c r="I240" s="31" t="str">
        <x:f>IF(AND(G240=H240,C240&gt;0,ABS(C240-'Prices'!H240)&lt;=MAX(0.01,'Prices'!H240*0.000001)),"Match","Mismatch")</x:f>
        <x:v>Match</x:v>
      </x:c>
      <x:c r="J240" s="14" t="str">
        <x:v>data/bspi15/raw/marketstack/2026-10-21T11-35-39-133Z/constituents-v2.json</x:v>
      </x:c>
      <x:c r="K240" s="14" t="str"/>
      <x:c r="L240" s="38" t="n">
        <x:v>46316.48309181713</x:v>
      </x:c>
      <x:c r="M240" s="14" t="str"/>
    </x:row>
    <x:row r="241" ht="50" customHeight="1">
      <x:c r="A241" s="9" t="n">
        <x:v>46315</x:v>
      </x:c>
      <x:c r="B241" s="10" t="str">
        <x:v>HEXA B</x:v>
      </x:c>
      <x:c r="C241" s="33" t="n">
        <x:v>104.25</x:v>
      </x:c>
      <x:c r="D241" s="33" t="n">
        <x:v>104.25</x:v>
      </x:c>
      <x:c r="E241" s="33" t="n">
        <x:v>0</x:v>
      </x:c>
      <x:c r="F241" s="37" t="n">
        <x:v>1</x:v>
      </x:c>
      <x:c r="G241" s="10" t="str">
        <x:v>XSTO</x:v>
      </x:c>
      <x:c r="H241" s="10" t="str">
        <x:v>XSTO</x:v>
      </x:c>
      <x:c r="I241" s="32" t="str">
        <x:f>IF(AND(G241=H241,C241&gt;0,ABS(C241-'Prices'!H241)&lt;=MAX(0.01,'Prices'!H241*0.000001)),"Match","Mismatch")</x:f>
        <x:v>Match</x:v>
      </x:c>
      <x:c r="J241" s="16" t="str">
        <x:v>data/bspi15/raw/marketstack/2026-10-21T11-35-39-133Z/constituents-v2.json</x:v>
      </x:c>
      <x:c r="K241" s="16" t="str"/>
      <x:c r="L241" s="39" t="n">
        <x:v>46316.48309181713</x:v>
      </x:c>
      <x:c r="M241" s="16" t="str"/>
    </x:row>
    <x:row r="242" ht="50" customHeight="1">
      <x:c r="A242" s="8" t="n">
        <x:v>46315</x:v>
      </x:c>
      <x:c r="B242" s="2" t="str">
        <x:v>S&amp;P 500</x:v>
      </x:c>
      <x:c r="C242" s="17" t="n">
        <x:v>7712.57</x:v>
      </x:c>
      <x:c r="D242" s="17" t="n">
        <x:v>7712.57</x:v>
      </x:c>
      <x:c r="E242" s="17" t="n">
        <x:v>0</x:v>
      </x:c>
      <x:c r="F242" s="36" t="n">
        <x:v>1</x:v>
      </x:c>
      <x:c r="G242" s="2" t="str">
        <x:v>INDX</x:v>
      </x:c>
      <x:c r="H242" s="2" t="str">
        <x:v>INDX</x:v>
      </x:c>
      <x:c r="I242" s="31" t="str">
        <x:f>IF(AND(G242=H242,C242&gt;0,ABS(C242-'Prices'!H242)&lt;=MAX(0.01,'Prices'!H242*0.000001)),"Match","Mismatch")</x:f>
        <x:v>Match</x:v>
      </x:c>
      <x:c r="J242" s="14" t="str">
        <x:v>data/bspi15/raw/marketstack/2026-10-21T11-35-39-133Z/benchmarks-v1.json</x:v>
      </x:c>
      <x:c r="K242" s="14" t="str"/>
      <x:c r="L242" s="38" t="n">
        <x:v>46316.48309181713</x:v>
      </x:c>
      <x:c r="M242" s="14" t="str"/>
    </x:row>
    <x:row r="243" ht="50" customHeight="1">
      <x:c r="A243" s="9" t="n">
        <x:v>46315</x:v>
      </x:c>
      <x:c r="B243" s="10" t="str">
        <x:v>Nasdaq Composite</x:v>
      </x:c>
      <x:c r="C243" s="33" t="n">
        <x:v>26424.8164</x:v>
      </x:c>
      <x:c r="D243" s="33" t="n">
        <x:v>26424.8164</x:v>
      </x:c>
      <x:c r="E243" s="33" t="n">
        <x:v>0</x:v>
      </x:c>
      <x:c r="F243" s="37" t="n">
        <x:v>1</x:v>
      </x:c>
      <x:c r="G243" s="10" t="str">
        <x:v>INDX</x:v>
      </x:c>
      <x:c r="H243" s="10" t="str">
        <x:v>INDX</x:v>
      </x:c>
      <x:c r="I243" s="32" t="str">
        <x:f>IF(AND(G243=H243,C243&gt;0,ABS(C243-'Prices'!H243)&lt;=MAX(0.01,'Prices'!H243*0.000001)),"Match","Mismatch")</x:f>
        <x:v>Match</x:v>
      </x:c>
      <x:c r="J243" s="16" t="str">
        <x:v>data/bspi15/raw/marketstack/2026-10-21T11-35-39-133Z/benchmarks-v1.json</x:v>
      </x:c>
      <x:c r="K243" s="16" t="str"/>
      <x:c r="L243" s="39" t="n">
        <x:v>46316.48309181713</x:v>
      </x:c>
      <x:c r="M243" s="16" t="str"/>
    </x:row>
    <x:row r="244" ht="50" customHeight="1">
      <x:c r="A244" s="8" t="n">
        <x:v>46316</x:v>
      </x:c>
      <x:c r="B244" s="2" t="str">
        <x:v>6954</x:v>
      </x:c>
      <x:c r="C244" s="17" t="n">
        <x:v>5823</x:v>
      </x:c>
      <x:c r="D244" s="17" t="n">
        <x:v>5823</x:v>
      </x:c>
      <x:c r="E244" s="17" t="n">
        <x:v>0</x:v>
      </x:c>
      <x:c r="F244" s="36" t="n">
        <x:v>1</x:v>
      </x:c>
      <x:c r="G244" s="2" t="str">
        <x:v>XJPX</x:v>
      </x:c>
      <x:c r="H244" s="2" t="str">
        <x:v>XJPX</x:v>
      </x:c>
      <x:c r="I244" s="31" t="str">
        <x:f>IF(AND(G244=H244,C244&gt;0,ABS(C244-'Prices'!H244)&lt;=MAX(0.01,'Prices'!H244*0.000001)),"Match","Mismatch")</x:f>
        <x:v>Match</x:v>
      </x:c>
      <x:c r="J244" s="14" t="str">
        <x:v>data/bspi15/raw/marketstack/2026-10-22T11-36-22-004Z/constituents-v2.json</x:v>
      </x:c>
      <x:c r="K244" s="14" t="str"/>
      <x:c r="L244" s="38" t="n">
        <x:v>46317.48358800926</x:v>
      </x:c>
      <x:c r="M244" s="14" t="str"/>
    </x:row>
    <x:row r="245" ht="50" customHeight="1">
      <x:c r="A245" s="9" t="n">
        <x:v>46316</x:v>
      </x:c>
      <x:c r="B245" s="10" t="str">
        <x:v>6506</x:v>
      </x:c>
      <x:c r="C245" s="33" t="n">
        <x:v>4204</x:v>
      </x:c>
      <x:c r="D245" s="33" t="n">
        <x:v>4204</x:v>
      </x:c>
      <x:c r="E245" s="33" t="n">
        <x:v>0</x:v>
      </x:c>
      <x:c r="F245" s="37" t="n">
        <x:v>1</x:v>
      </x:c>
      <x:c r="G245" s="10" t="str">
        <x:v>XJPX</x:v>
      </x:c>
      <x:c r="H245" s="10" t="str">
        <x:v>XJPX</x:v>
      </x:c>
      <x:c r="I245" s="32" t="str">
        <x:f>IF(AND(G245=H245,C245&gt;0,ABS(C245-'Prices'!H245)&lt;=MAX(0.01,'Prices'!H245*0.000001)),"Match","Mismatch")</x:f>
        <x:v>Match</x:v>
      </x:c>
      <x:c r="J245" s="16" t="str">
        <x:v>data/bspi15/raw/marketstack/2026-10-22T11-36-22-004Z/constituents-v2.json</x:v>
      </x:c>
      <x:c r="K245" s="16" t="str"/>
      <x:c r="L245" s="39" t="n">
        <x:v>46317.48358800926</x:v>
      </x:c>
      <x:c r="M245" s="16" t="str"/>
    </x:row>
    <x:row r="246" ht="50" customHeight="1">
      <x:c r="A246" s="8" t="n">
        <x:v>46316</x:v>
      </x:c>
      <x:c r="B246" s="13" t="str">
        <x:v>002747</x:v>
      </x:c>
      <x:c r="C246" s="17" t="n">
        <x:v>26.08</x:v>
      </x:c>
      <x:c r="D246" s="17" t="n">
        <x:v>26.08</x:v>
      </x:c>
      <x:c r="E246" s="17" t="n">
        <x:v>0</x:v>
      </x:c>
      <x:c r="F246" s="36" t="n">
        <x:v>1</x:v>
      </x:c>
      <x:c r="G246" s="2" t="str">
        <x:v>XSHE</x:v>
      </x:c>
      <x:c r="H246" s="2" t="str">
        <x:v>XSHE</x:v>
      </x:c>
      <x:c r="I246" s="31" t="str">
        <x:f>IF(AND(G246=H246,C246&gt;0,ABS(C246-'Prices'!H246)&lt;=MAX(0.01,'Prices'!H246*0.000001)),"Match","Mismatch")</x:f>
        <x:v>Match</x:v>
      </x:c>
      <x:c r="J246" s="14" t="str">
        <x:v>data/bspi15/raw/marketstack/2026-10-22T11-36-22-004Z/constituents-v2.json</x:v>
      </x:c>
      <x:c r="K246" s="14" t="str"/>
      <x:c r="L246" s="38" t="n">
        <x:v>46317.48358800926</x:v>
      </x:c>
      <x:c r="M246" s="14" t="str"/>
    </x:row>
    <x:row r="247" ht="50" customHeight="1">
      <x:c r="A247" s="9" t="n">
        <x:v>46316</x:v>
      </x:c>
      <x:c r="B247" s="10" t="str">
        <x:v>TER</x:v>
      </x:c>
      <x:c r="C247" s="33" t="n">
        <x:v>345.49</x:v>
      </x:c>
      <x:c r="D247" s="33" t="n">
        <x:v>345.49</x:v>
      </x:c>
      <x:c r="E247" s="33" t="n">
        <x:v>0</x:v>
      </x:c>
      <x:c r="F247" s="37" t="n">
        <x:v>1</x:v>
      </x:c>
      <x:c r="G247" s="10" t="str">
        <x:v>XNAS</x:v>
      </x:c>
      <x:c r="H247" s="10" t="str">
        <x:v>XNAS</x:v>
      </x:c>
      <x:c r="I247" s="32" t="str">
        <x:f>IF(AND(G247=H247,C247&gt;0,ABS(C247-'Prices'!H247)&lt;=MAX(0.01,'Prices'!H247*0.000001)),"Match","Mismatch")</x:f>
        <x:v>Match</x:v>
      </x:c>
      <x:c r="J247" s="16" t="str">
        <x:v>data/bspi15/raw/marketstack/2026-10-22T11-36-22-004Z/constituents-v2.json</x:v>
      </x:c>
      <x:c r="K247" s="16" t="str"/>
      <x:c r="L247" s="39" t="n">
        <x:v>46317.48358800926</x:v>
      </x:c>
      <x:c r="M247" s="16" t="str"/>
    </x:row>
    <x:row r="248" ht="50" customHeight="1">
      <x:c r="A248" s="8" t="n">
        <x:v>46316</x:v>
      </x:c>
      <x:c r="B248" s="2" t="str">
        <x:v>6268</x:v>
      </x:c>
      <x:c r="C248" s="17" t="n">
        <x:v>4357</x:v>
      </x:c>
      <x:c r="D248" s="17" t="n">
        <x:v>4357</x:v>
      </x:c>
      <x:c r="E248" s="17" t="n">
        <x:v>0</x:v>
      </x:c>
      <x:c r="F248" s="36" t="n">
        <x:v>1</x:v>
      </x:c>
      <x:c r="G248" s="2" t="str">
        <x:v>XJPX</x:v>
      </x:c>
      <x:c r="H248" s="2" t="str">
        <x:v>XJPX</x:v>
      </x:c>
      <x:c r="I248" s="31" t="str">
        <x:f>IF(AND(G248=H248,C248&gt;0,ABS(C248-'Prices'!H248)&lt;=MAX(0.01,'Prices'!H248*0.000001)),"Match","Mismatch")</x:f>
        <x:v>Match</x:v>
      </x:c>
      <x:c r="J248" s="14" t="str">
        <x:v>data/bspi15/raw/marketstack/2026-10-22T11-36-22-004Z/constituents-v2.json</x:v>
      </x:c>
      <x:c r="K248" s="14" t="str"/>
      <x:c r="L248" s="38" t="n">
        <x:v>46317.48358800926</x:v>
      </x:c>
      <x:c r="M248" s="14" t="str"/>
    </x:row>
    <x:row r="249" ht="50" customHeight="1">
      <x:c r="A249" s="9" t="n">
        <x:v>46316</x:v>
      </x:c>
      <x:c r="B249" s="10" t="str">
        <x:v>300124</x:v>
      </x:c>
      <x:c r="C249" s="33" t="n">
        <x:v>49.9</x:v>
      </x:c>
      <x:c r="D249" s="33" t="n">
        <x:v>49.9</x:v>
      </x:c>
      <x:c r="E249" s="33" t="n">
        <x:v>0</x:v>
      </x:c>
      <x:c r="F249" s="37" t="n">
        <x:v>1</x:v>
      </x:c>
      <x:c r="G249" s="10" t="str">
        <x:v>XSHE</x:v>
      </x:c>
      <x:c r="H249" s="10" t="str">
        <x:v>XSHE</x:v>
      </x:c>
      <x:c r="I249" s="32" t="str">
        <x:f>IF(AND(G249=H249,C249&gt;0,ABS(C249-'Prices'!H249)&lt;=MAX(0.01,'Prices'!H249*0.000001)),"Match","Mismatch")</x:f>
        <x:v>Match</x:v>
      </x:c>
      <x:c r="J249" s="16" t="str">
        <x:v>data/bspi15/raw/marketstack/2026-10-22T11-36-22-004Z/constituents-v2.json</x:v>
      </x:c>
      <x:c r="K249" s="16" t="str"/>
      <x:c r="L249" s="39" t="n">
        <x:v>46317.48358800926</x:v>
      </x:c>
      <x:c r="M249" s="16" t="str"/>
    </x:row>
    <x:row r="250" ht="50" customHeight="1">
      <x:c r="A250" s="8" t="n">
        <x:v>46316</x:v>
      </x:c>
      <x:c r="B250" s="2" t="str">
        <x:v>6861</x:v>
      </x:c>
      <x:c r="C250" s="17" t="n">
        <x:v>80860</x:v>
      </x:c>
      <x:c r="D250" s="17" t="n">
        <x:v>80860</x:v>
      </x:c>
      <x:c r="E250" s="17" t="n">
        <x:v>0</x:v>
      </x:c>
      <x:c r="F250" s="36" t="n">
        <x:v>1</x:v>
      </x:c>
      <x:c r="G250" s="2" t="str">
        <x:v>XJPX</x:v>
      </x:c>
      <x:c r="H250" s="2" t="str">
        <x:v>XJPX</x:v>
      </x:c>
      <x:c r="I250" s="31" t="str">
        <x:f>IF(AND(G250=H250,C250&gt;0,ABS(C250-'Prices'!H250)&lt;=MAX(0.01,'Prices'!H250*0.000001)),"Match","Mismatch")</x:f>
        <x:v>Match</x:v>
      </x:c>
      <x:c r="J250" s="14" t="str">
        <x:v>data/bspi15/raw/marketstack/2026-10-22T11-36-22-004Z/constituents-v2.json</x:v>
      </x:c>
      <x:c r="K250" s="14" t="str"/>
      <x:c r="L250" s="38" t="n">
        <x:v>46317.48358800926</x:v>
      </x:c>
      <x:c r="M250" s="14" t="str"/>
    </x:row>
    <x:row r="251" ht="50" customHeight="1">
      <x:c r="A251" s="9" t="n">
        <x:v>46316</x:v>
      </x:c>
      <x:c r="B251" s="10" t="str">
        <x:v>CGNX</x:v>
      </x:c>
      <x:c r="C251" s="33" t="n">
        <x:v>58.05</x:v>
      </x:c>
      <x:c r="D251" s="33" t="n">
        <x:v>58.05</x:v>
      </x:c>
      <x:c r="E251" s="33" t="n">
        <x:v>0</x:v>
      </x:c>
      <x:c r="F251" s="37" t="n">
        <x:v>1</x:v>
      </x:c>
      <x:c r="G251" s="10" t="str">
        <x:v>XNAS</x:v>
      </x:c>
      <x:c r="H251" s="10" t="str">
        <x:v>XNAS</x:v>
      </x:c>
      <x:c r="I251" s="32" t="str">
        <x:f>IF(AND(G251=H251,C251&gt;0,ABS(C251-'Prices'!H251)&lt;=MAX(0.01,'Prices'!H251*0.000001)),"Match","Mismatch")</x:f>
        <x:v>Match</x:v>
      </x:c>
      <x:c r="J251" s="16" t="str">
        <x:v>data/bspi15/raw/marketstack/2026-10-22T11-36-22-004Z/constituents-v2.json</x:v>
      </x:c>
      <x:c r="K251" s="16" t="str"/>
      <x:c r="L251" s="39" t="n">
        <x:v>46317.48358800926</x:v>
      </x:c>
      <x:c r="M251" s="16" t="str"/>
    </x:row>
    <x:row r="252" ht="50" customHeight="1">
      <x:c r="A252" s="8" t="n">
        <x:v>46316</x:v>
      </x:c>
      <x:c r="B252" s="2" t="str">
        <x:v>OUST</x:v>
      </x:c>
      <x:c r="C252" s="17" t="n">
        <x:v>30.31</x:v>
      </x:c>
      <x:c r="D252" s="17" t="n">
        <x:v>30.31</x:v>
      </x:c>
      <x:c r="E252" s="17" t="n">
        <x:v>0</x:v>
      </x:c>
      <x:c r="F252" s="36" t="n">
        <x:v>1</x:v>
      </x:c>
      <x:c r="G252" s="2" t="str">
        <x:v>XNAS</x:v>
      </x:c>
      <x:c r="H252" s="2" t="str">
        <x:v>XNYS</x:v>
      </x:c>
      <x:c r="I252" s="31" t="str">
        <x:f>IF(AND(OR(G252=H252,AND(B252="OUST",G252="XNAS",H252="XNYS",LEFT(M252,34)="ouster-marketstack-legacy-nyse-tag")),C252&gt;0,ABS(C252-'Prices'!H252)&lt;=MAX(0.01,'Prices'!H252*0.000001)),"Approved MIC exception","Mismatch")</x:f>
        <x:v>Approved MIC exception</x:v>
      </x:c>
      <x:c r="J252" s="14" t="str">
        <x:v>data/bspi15/raw/marketstack/2026-10-22T11-36-22-004Z/constituents-v2.json</x:v>
      </x:c>
      <x:c r="K252" s="14" t="str"/>
      <x:c r="L252" s="38" t="n">
        <x:v>46317.48358800926</x:v>
      </x:c>
      <x:c r="M252" s="14" t="str">
        <x:v>ouster-marketstack-legacy-nyse-tag; approved 2026-10-14; data/bspi15/provider-mic-exceptions.json</x:v>
      </x:c>
    </x:row>
    <x:row r="253" ht="50" customHeight="1">
      <x:c r="A253" s="9" t="n">
        <x:v>46316</x:v>
      </x:c>
      <x:c r="B253" s="10" t="str">
        <x:v>HSAI</x:v>
      </x:c>
      <x:c r="C253" s="33" t="n">
        <x:v>13.19</x:v>
      </x:c>
      <x:c r="D253" s="33" t="n">
        <x:v>13.19</x:v>
      </x:c>
      <x:c r="E253" s="33" t="n">
        <x:v>0</x:v>
      </x:c>
      <x:c r="F253" s="37" t="n">
        <x:v>1</x:v>
      </x:c>
      <x:c r="G253" s="10" t="str">
        <x:v>XNAS</x:v>
      </x:c>
      <x:c r="H253" s="10" t="str">
        <x:v>XNAS</x:v>
      </x:c>
      <x:c r="I253" s="32" t="str">
        <x:f>IF(AND(G253=H253,C253&gt;0,ABS(C253-'Prices'!H253)&lt;=MAX(0.01,'Prices'!H253*0.000001)),"Match","Mismatch")</x:f>
        <x:v>Match</x:v>
      </x:c>
      <x:c r="J253" s="16" t="str">
        <x:v>data/bspi15/raw/marketstack/2026-10-22T11-36-22-004Z/constituents-v2.json</x:v>
      </x:c>
      <x:c r="K253" s="16" t="str"/>
      <x:c r="L253" s="39" t="n">
        <x:v>46317.48358800926</x:v>
      </x:c>
      <x:c r="M253" s="16" t="str"/>
    </x:row>
    <x:row r="254" ht="50" customHeight="1">
      <x:c r="A254" s="8" t="n">
        <x:v>46316</x:v>
      </x:c>
      <x:c r="B254" s="2" t="str">
        <x:v>ROK</x:v>
      </x:c>
      <x:c r="C254" s="17" t="n">
        <x:v>438.51</x:v>
      </x:c>
      <x:c r="D254" s="17" t="n">
        <x:v>438.51</x:v>
      </x:c>
      <x:c r="E254" s="17" t="n">
        <x:v>0</x:v>
      </x:c>
      <x:c r="F254" s="36" t="n">
        <x:v>1</x:v>
      </x:c>
      <x:c r="G254" s="2" t="str">
        <x:v>XNYS</x:v>
      </x:c>
      <x:c r="H254" s="2" t="str">
        <x:v>XNYS</x:v>
      </x:c>
      <x:c r="I254" s="31" t="str">
        <x:f>IF(AND(G254=H254,C254&gt;0,ABS(C254-'Prices'!H254)&lt;=MAX(0.01,'Prices'!H254*0.000001)),"Match","Mismatch")</x:f>
        <x:v>Match</x:v>
      </x:c>
      <x:c r="J254" s="14" t="str">
        <x:v>data/bspi15/raw/marketstack/2026-10-22T11-36-22-004Z/constituents-v2.json</x:v>
      </x:c>
      <x:c r="K254" s="14" t="str"/>
      <x:c r="L254" s="38" t="n">
        <x:v>46317.48358800926</x:v>
      </x:c>
      <x:c r="M254" s="14" t="str"/>
    </x:row>
    <x:row r="255" ht="50" customHeight="1">
      <x:c r="A255" s="9" t="n">
        <x:v>46316</x:v>
      </x:c>
      <x:c r="B255" s="10" t="str">
        <x:v>SIE</x:v>
      </x:c>
      <x:c r="C255" s="33" t="n">
        <x:v>266.75</x:v>
      </x:c>
      <x:c r="D255" s="33" t="n">
        <x:v>266.75</x:v>
      </x:c>
      <x:c r="E255" s="33" t="n">
        <x:v>0</x:v>
      </x:c>
      <x:c r="F255" s="37" t="n">
        <x:v>1</x:v>
      </x:c>
      <x:c r="G255" s="10" t="str">
        <x:v>XETR</x:v>
      </x:c>
      <x:c r="H255" s="10" t="str">
        <x:v>XETR</x:v>
      </x:c>
      <x:c r="I255" s="32" t="str">
        <x:f>IF(AND(G255=H255,C255&gt;0,ABS(C255-'Prices'!H255)&lt;=MAX(0.01,'Prices'!H255*0.000001)),"Match","Mismatch")</x:f>
        <x:v>Match</x:v>
      </x:c>
      <x:c r="J255" s="16" t="str">
        <x:v>data/bspi15/raw/marketstack/2026-10-22T11-36-22-004Z/constituents-v2.json</x:v>
      </x:c>
      <x:c r="K255" s="16" t="str"/>
      <x:c r="L255" s="39" t="n">
        <x:v>46317.48358800926</x:v>
      </x:c>
      <x:c r="M255" s="16" t="str"/>
    </x:row>
    <x:row r="256" ht="50" customHeight="1">
      <x:c r="A256" s="8" t="n">
        <x:v>46316</x:v>
      </x:c>
      <x:c r="B256" s="2" t="str">
        <x:v>NXPI</x:v>
      </x:c>
      <x:c r="C256" s="17" t="n">
        <x:v>242.36</x:v>
      </x:c>
      <x:c r="D256" s="17" t="n">
        <x:v>242.36</x:v>
      </x:c>
      <x:c r="E256" s="17" t="n">
        <x:v>0</x:v>
      </x:c>
      <x:c r="F256" s="36" t="n">
        <x:v>1</x:v>
      </x:c>
      <x:c r="G256" s="2" t="str">
        <x:v>XNAS</x:v>
      </x:c>
      <x:c r="H256" s="2" t="str">
        <x:v>XNAS</x:v>
      </x:c>
      <x:c r="I256" s="31" t="str">
        <x:f>IF(AND(G256=H256,C256&gt;0,ABS(C256-'Prices'!H256)&lt;=MAX(0.01,'Prices'!H256*0.000001)),"Match","Mismatch")</x:f>
        <x:v>Match</x:v>
      </x:c>
      <x:c r="J256" s="14" t="str">
        <x:v>data/bspi15/raw/marketstack/2026-10-22T11-36-22-004Z/constituents-v2.json</x:v>
      </x:c>
      <x:c r="K256" s="14" t="str"/>
      <x:c r="L256" s="38" t="n">
        <x:v>46317.48358800926</x:v>
      </x:c>
      <x:c r="M256" s="14" t="str"/>
    </x:row>
    <x:row r="257" ht="50" customHeight="1">
      <x:c r="A257" s="9" t="n">
        <x:v>46316</x:v>
      </x:c>
      <x:c r="B257" s="10" t="str">
        <x:v>6383</x:v>
      </x:c>
      <x:c r="C257" s="33" t="n">
        <x:v>5445</x:v>
      </x:c>
      <x:c r="D257" s="33" t="n">
        <x:v>5445</x:v>
      </x:c>
      <x:c r="E257" s="33" t="n">
        <x:v>0</x:v>
      </x:c>
      <x:c r="F257" s="37" t="n">
        <x:v>1</x:v>
      </x:c>
      <x:c r="G257" s="10" t="str">
        <x:v>XJPX</x:v>
      </x:c>
      <x:c r="H257" s="10" t="str">
        <x:v>XJPX</x:v>
      </x:c>
      <x:c r="I257" s="32" t="str">
        <x:f>IF(AND(G257=H257,C257&gt;0,ABS(C257-'Prices'!H257)&lt;=MAX(0.01,'Prices'!H257*0.000001)),"Match","Mismatch")</x:f>
        <x:v>Match</x:v>
      </x:c>
      <x:c r="J257" s="16" t="str">
        <x:v>data/bspi15/raw/marketstack/2026-10-22T11-36-22-004Z/constituents-v2.json</x:v>
      </x:c>
      <x:c r="K257" s="16" t="str"/>
      <x:c r="L257" s="39" t="n">
        <x:v>46317.48358800926</x:v>
      </x:c>
      <x:c r="M257" s="16" t="str"/>
    </x:row>
    <x:row r="258" ht="50" customHeight="1">
      <x:c r="A258" s="8" t="n">
        <x:v>46316</x:v>
      </x:c>
      <x:c r="B258" s="2" t="str">
        <x:v>HEXA B</x:v>
      </x:c>
      <x:c r="C258" s="17" t="n">
        <x:v>104.7</x:v>
      </x:c>
      <x:c r="D258" s="17" t="n">
        <x:v>104.7</x:v>
      </x:c>
      <x:c r="E258" s="17" t="n">
        <x:v>0</x:v>
      </x:c>
      <x:c r="F258" s="36" t="n">
        <x:v>1</x:v>
      </x:c>
      <x:c r="G258" s="2" t="str">
        <x:v>XSTO</x:v>
      </x:c>
      <x:c r="H258" s="2" t="str">
        <x:v>XSTO</x:v>
      </x:c>
      <x:c r="I258" s="31" t="str">
        <x:f>IF(AND(G258=H258,C258&gt;0,ABS(C258-'Prices'!H258)&lt;=MAX(0.01,'Prices'!H258*0.000001)),"Match","Mismatch")</x:f>
        <x:v>Match</x:v>
      </x:c>
      <x:c r="J258" s="14" t="str">
        <x:v>data/bspi15/raw/marketstack/2026-10-22T11-36-22-004Z/constituents-v2.json</x:v>
      </x:c>
      <x:c r="K258" s="14" t="str"/>
      <x:c r="L258" s="38" t="n">
        <x:v>46317.48358800926</x:v>
      </x:c>
      <x:c r="M258" s="14" t="str"/>
    </x:row>
    <x:row r="259" ht="50" customHeight="1">
      <x:c r="A259" s="9" t="n">
        <x:v>46316</x:v>
      </x:c>
      <x:c r="B259" s="10" t="str">
        <x:v>S&amp;P 500</x:v>
      </x:c>
      <x:c r="C259" s="33" t="n">
        <x:v>7757.17</x:v>
      </x:c>
      <x:c r="D259" s="33" t="n">
        <x:v>7757.17</x:v>
      </x:c>
      <x:c r="E259" s="33" t="n">
        <x:v>0</x:v>
      </x:c>
      <x:c r="F259" s="37" t="n">
        <x:v>1</x:v>
      </x:c>
      <x:c r="G259" s="10" t="str">
        <x:v>INDX</x:v>
      </x:c>
      <x:c r="H259" s="10" t="str">
        <x:v>INDX</x:v>
      </x:c>
      <x:c r="I259" s="32" t="str">
        <x:f>IF(AND(G259=H259,C259&gt;0,ABS(C259-'Prices'!H259)&lt;=MAX(0.01,'Prices'!H259*0.000001)),"Match","Mismatch")</x:f>
        <x:v>Match</x:v>
      </x:c>
      <x:c r="J259" s="16" t="str">
        <x:v>data/bspi15/raw/marketstack/2026-10-22T11-36-22-004Z/benchmarks-v1.json</x:v>
      </x:c>
      <x:c r="K259" s="16" t="str"/>
      <x:c r="L259" s="39" t="n">
        <x:v>46317.48358800926</x:v>
      </x:c>
      <x:c r="M259" s="16" t="str"/>
    </x:row>
    <x:row r="260" ht="50" customHeight="1">
      <x:c r="A260" s="8" t="n">
        <x:v>46316</x:v>
      </x:c>
      <x:c r="B260" s="2" t="str">
        <x:v>Nasdaq Composite</x:v>
      </x:c>
      <x:c r="C260" s="17" t="n">
        <x:v>26702.8574</x:v>
      </x:c>
      <x:c r="D260" s="17" t="n">
        <x:v>26702.8574</x:v>
      </x:c>
      <x:c r="E260" s="17" t="n">
        <x:v>0</x:v>
      </x:c>
      <x:c r="F260" s="36" t="n">
        <x:v>1</x:v>
      </x:c>
      <x:c r="G260" s="2" t="str">
        <x:v>INDX</x:v>
      </x:c>
      <x:c r="H260" s="2" t="str">
        <x:v>INDX</x:v>
      </x:c>
      <x:c r="I260" s="31" t="str">
        <x:f>IF(AND(G260=H260,C260&gt;0,ABS(C260-'Prices'!H260)&lt;=MAX(0.01,'Prices'!H260*0.000001)),"Match","Mismatch")</x:f>
        <x:v>Match</x:v>
      </x:c>
      <x:c r="J260" s="14" t="str">
        <x:v>data/bspi15/raw/marketstack/2026-10-22T11-36-22-004Z/benchmarks-v1.json</x:v>
      </x:c>
      <x:c r="K260" s="14" t="str"/>
      <x:c r="L260" s="38" t="n">
        <x:v>46317.48358800926</x:v>
      </x:c>
      <x:c r="M260" s="14" t="str"/>
    </x:row>
    <x:row r="261" ht="50" customHeight="1">
      <x:c r="A261" s="9" t="n">
        <x:v>46317</x:v>
      </x:c>
      <x:c r="B261" s="10" t="str">
        <x:v>6954</x:v>
      </x:c>
      <x:c r="C261" s="33" t="n">
        <x:v>5624</x:v>
      </x:c>
      <x:c r="D261" s="33" t="n">
        <x:v>5624</x:v>
      </x:c>
      <x:c r="E261" s="33" t="n">
        <x:v>0</x:v>
      </x:c>
      <x:c r="F261" s="37" t="n">
        <x:v>1</x:v>
      </x:c>
      <x:c r="G261" s="10" t="str">
        <x:v>XJPX</x:v>
      </x:c>
      <x:c r="H261" s="10" t="str">
        <x:v>XJPX</x:v>
      </x:c>
      <x:c r="I261" s="32" t="str">
        <x:f>IF(AND(G261=H261,C261&gt;0,ABS(C261-'Prices'!H261)&lt;=MAX(0.01,'Prices'!H261*0.000001)),"Match","Mismatch")</x:f>
        <x:v>Match</x:v>
      </x:c>
      <x:c r="J261" s="16" t="str">
        <x:v>data/bspi15/raw/marketstack/2026-10-23T11-27-32-056Z/constituents-v2.json</x:v>
      </x:c>
      <x:c r="K261" s="16" t="str"/>
      <x:c r="L261" s="39" t="n">
        <x:v>46318.47745435185</x:v>
      </x:c>
      <x:c r="M261" s="16" t="str"/>
    </x:row>
    <x:row r="262" ht="50" customHeight="1">
      <x:c r="A262" s="8" t="n">
        <x:v>46317</x:v>
      </x:c>
      <x:c r="B262" s="2" t="str">
        <x:v>6506</x:v>
      </x:c>
      <x:c r="C262" s="17" t="n">
        <x:v>4033</x:v>
      </x:c>
      <x:c r="D262" s="17" t="n">
        <x:v>4033</x:v>
      </x:c>
      <x:c r="E262" s="17" t="n">
        <x:v>0</x:v>
      </x:c>
      <x:c r="F262" s="36" t="n">
        <x:v>1</x:v>
      </x:c>
      <x:c r="G262" s="2" t="str">
        <x:v>XJPX</x:v>
      </x:c>
      <x:c r="H262" s="2" t="str">
        <x:v>XJPX</x:v>
      </x:c>
      <x:c r="I262" s="31" t="str">
        <x:f>IF(AND(G262=H262,C262&gt;0,ABS(C262-'Prices'!H262)&lt;=MAX(0.01,'Prices'!H262*0.000001)),"Match","Mismatch")</x:f>
        <x:v>Match</x:v>
      </x:c>
      <x:c r="J262" s="14" t="str">
        <x:v>data/bspi15/raw/marketstack/2026-10-23T11-27-32-056Z/constituents-v2.json</x:v>
      </x:c>
      <x:c r="K262" s="14" t="str"/>
      <x:c r="L262" s="38" t="n">
        <x:v>46318.47745435185</x:v>
      </x:c>
      <x:c r="M262" s="14" t="str"/>
    </x:row>
    <x:row r="263" ht="50" customHeight="1">
      <x:c r="A263" s="9" t="n">
        <x:v>46317</x:v>
      </x:c>
      <x:c r="B263" s="15" t="str">
        <x:v>002747</x:v>
      </x:c>
      <x:c r="C263" s="33" t="n">
        <x:v>26.53</x:v>
      </x:c>
      <x:c r="D263" s="33" t="n">
        <x:v>26.53</x:v>
      </x:c>
      <x:c r="E263" s="33" t="n">
        <x:v>0</x:v>
      </x:c>
      <x:c r="F263" s="37" t="n">
        <x:v>1</x:v>
      </x:c>
      <x:c r="G263" s="10" t="str">
        <x:v>XSHE</x:v>
      </x:c>
      <x:c r="H263" s="10" t="str">
        <x:v>XSHE</x:v>
      </x:c>
      <x:c r="I263" s="32" t="str">
        <x:f>IF(AND(G263=H263,C263&gt;0,ABS(C263-'Prices'!H263)&lt;=MAX(0.01,'Prices'!H263*0.000001)),"Match","Mismatch")</x:f>
        <x:v>Match</x:v>
      </x:c>
      <x:c r="J263" s="16" t="str">
        <x:v>data/bspi15/raw/marketstack/2026-10-23T11-27-32-056Z/constituents-v2.json</x:v>
      </x:c>
      <x:c r="K263" s="16" t="str"/>
      <x:c r="L263" s="39" t="n">
        <x:v>46318.47745435185</x:v>
      </x:c>
      <x:c r="M263" s="16" t="str"/>
    </x:row>
    <x:row r="264" ht="50" customHeight="1">
      <x:c r="A264" s="8" t="n">
        <x:v>46317</x:v>
      </x:c>
      <x:c r="B264" s="2" t="str">
        <x:v>TER</x:v>
      </x:c>
      <x:c r="C264" s="17" t="n">
        <x:v>308.75</x:v>
      </x:c>
      <x:c r="D264" s="17" t="n">
        <x:v>308.75</x:v>
      </x:c>
      <x:c r="E264" s="17" t="n">
        <x:v>0</x:v>
      </x:c>
      <x:c r="F264" s="36" t="n">
        <x:v>1</x:v>
      </x:c>
      <x:c r="G264" s="2" t="str">
        <x:v>XNAS</x:v>
      </x:c>
      <x:c r="H264" s="2" t="str">
        <x:v>XNAS</x:v>
      </x:c>
      <x:c r="I264" s="31" t="str">
        <x:f>IF(AND(G264=H264,C264&gt;0,ABS(C264-'Prices'!H264)&lt;=MAX(0.01,'Prices'!H264*0.000001)),"Match","Mismatch")</x:f>
        <x:v>Match</x:v>
      </x:c>
      <x:c r="J264" s="14" t="str">
        <x:v>data/bspi15/raw/marketstack/2026-10-23T11-27-32-056Z/constituents-v2.json</x:v>
      </x:c>
      <x:c r="K264" s="14" t="str"/>
      <x:c r="L264" s="38" t="n">
        <x:v>46318.47745435185</x:v>
      </x:c>
      <x:c r="M264" s="14" t="str"/>
    </x:row>
    <x:row r="265" ht="50" customHeight="1">
      <x:c r="A265" s="9" t="n">
        <x:v>46317</x:v>
      </x:c>
      <x:c r="B265" s="10" t="str">
        <x:v>6268</x:v>
      </x:c>
      <x:c r="C265" s="33" t="n">
        <x:v>4166</x:v>
      </x:c>
      <x:c r="D265" s="33" t="n">
        <x:v>4166</x:v>
      </x:c>
      <x:c r="E265" s="33" t="n">
        <x:v>0</x:v>
      </x:c>
      <x:c r="F265" s="37" t="n">
        <x:v>1</x:v>
      </x:c>
      <x:c r="G265" s="10" t="str">
        <x:v>XJPX</x:v>
      </x:c>
      <x:c r="H265" s="10" t="str">
        <x:v>XJPX</x:v>
      </x:c>
      <x:c r="I265" s="32" t="str">
        <x:f>IF(AND(G265=H265,C265&gt;0,ABS(C265-'Prices'!H265)&lt;=MAX(0.01,'Prices'!H265*0.000001)),"Match","Mismatch")</x:f>
        <x:v>Match</x:v>
      </x:c>
      <x:c r="J265" s="16" t="str">
        <x:v>data/bspi15/raw/marketstack/2026-10-23T11-27-32-056Z/constituents-v2.json</x:v>
      </x:c>
      <x:c r="K265" s="16" t="str"/>
      <x:c r="L265" s="39" t="n">
        <x:v>46318.47745435185</x:v>
      </x:c>
      <x:c r="M265" s="16" t="str"/>
    </x:row>
    <x:row r="266" ht="50" customHeight="1">
      <x:c r="A266" s="8" t="n">
        <x:v>46317</x:v>
      </x:c>
      <x:c r="B266" s="2" t="str">
        <x:v>300124</x:v>
      </x:c>
      <x:c r="C266" s="17" t="n">
        <x:v>49.91</x:v>
      </x:c>
      <x:c r="D266" s="17" t="n">
        <x:v>49.91</x:v>
      </x:c>
      <x:c r="E266" s="17" t="n">
        <x:v>0</x:v>
      </x:c>
      <x:c r="F266" s="36" t="n">
        <x:v>1</x:v>
      </x:c>
      <x:c r="G266" s="2" t="str">
        <x:v>XSHE</x:v>
      </x:c>
      <x:c r="H266" s="2" t="str">
        <x:v>XSHE</x:v>
      </x:c>
      <x:c r="I266" s="31" t="str">
        <x:f>IF(AND(G266=H266,C266&gt;0,ABS(C266-'Prices'!H266)&lt;=MAX(0.01,'Prices'!H266*0.000001)),"Match","Mismatch")</x:f>
        <x:v>Match</x:v>
      </x:c>
      <x:c r="J266" s="14" t="str">
        <x:v>data/bspi15/raw/marketstack/2026-10-23T11-27-32-056Z/constituents-v2.json</x:v>
      </x:c>
      <x:c r="K266" s="14" t="str"/>
      <x:c r="L266" s="38" t="n">
        <x:v>46318.47745435185</x:v>
      </x:c>
      <x:c r="M266" s="14" t="str"/>
    </x:row>
    <x:row r="267" ht="50" customHeight="1">
      <x:c r="A267" s="9" t="n">
        <x:v>46317</x:v>
      </x:c>
      <x:c r="B267" s="10" t="str">
        <x:v>6861</x:v>
      </x:c>
      <x:c r="C267" s="33" t="n">
        <x:v>80360</x:v>
      </x:c>
      <x:c r="D267" s="33" t="n">
        <x:v>80360</x:v>
      </x:c>
      <x:c r="E267" s="33" t="n">
        <x:v>0</x:v>
      </x:c>
      <x:c r="F267" s="37" t="n">
        <x:v>1</x:v>
      </x:c>
      <x:c r="G267" s="10" t="str">
        <x:v>XJPX</x:v>
      </x:c>
      <x:c r="H267" s="10" t="str">
        <x:v>XJPX</x:v>
      </x:c>
      <x:c r="I267" s="32" t="str">
        <x:f>IF(AND(G267=H267,C267&gt;0,ABS(C267-'Prices'!H267)&lt;=MAX(0.01,'Prices'!H267*0.000001)),"Match","Mismatch")</x:f>
        <x:v>Match</x:v>
      </x:c>
      <x:c r="J267" s="16" t="str">
        <x:v>data/bspi15/raw/marketstack/2026-10-23T11-27-32-056Z/constituents-v2.json</x:v>
      </x:c>
      <x:c r="K267" s="16" t="str"/>
      <x:c r="L267" s="39" t="n">
        <x:v>46318.47745435185</x:v>
      </x:c>
      <x:c r="M267" s="16" t="str"/>
    </x:row>
    <x:row r="268" ht="50" customHeight="1">
      <x:c r="A268" s="8" t="n">
        <x:v>46317</x:v>
      </x:c>
      <x:c r="B268" s="2" t="str">
        <x:v>CGNX</x:v>
      </x:c>
      <x:c r="C268" s="17" t="n">
        <x:v>54.6</x:v>
      </x:c>
      <x:c r="D268" s="17" t="n">
        <x:v>54.6</x:v>
      </x:c>
      <x:c r="E268" s="17" t="n">
        <x:v>0</x:v>
      </x:c>
      <x:c r="F268" s="36" t="n">
        <x:v>1</x:v>
      </x:c>
      <x:c r="G268" s="2" t="str">
        <x:v>XNAS</x:v>
      </x:c>
      <x:c r="H268" s="2" t="str">
        <x:v>XNAS</x:v>
      </x:c>
      <x:c r="I268" s="31" t="str">
        <x:f>IF(AND(G268=H268,C268&gt;0,ABS(C268-'Prices'!H268)&lt;=MAX(0.01,'Prices'!H268*0.000001)),"Match","Mismatch")</x:f>
        <x:v>Match</x:v>
      </x:c>
      <x:c r="J268" s="14" t="str">
        <x:v>data/bspi15/raw/marketstack/2026-10-23T11-27-32-056Z/constituents-v2.json</x:v>
      </x:c>
      <x:c r="K268" s="14" t="str"/>
      <x:c r="L268" s="38" t="n">
        <x:v>46318.47745435185</x:v>
      </x:c>
      <x:c r="M268" s="14" t="str"/>
    </x:row>
    <x:row r="269" ht="50" customHeight="1">
      <x:c r="A269" s="9" t="n">
        <x:v>46317</x:v>
      </x:c>
      <x:c r="B269" s="10" t="str">
        <x:v>OUST</x:v>
      </x:c>
      <x:c r="C269" s="33" t="n">
        <x:v>27.98</x:v>
      </x:c>
      <x:c r="D269" s="33" t="n">
        <x:v>27.98</x:v>
      </x:c>
      <x:c r="E269" s="33" t="n">
        <x:v>0</x:v>
      </x:c>
      <x:c r="F269" s="37" t="n">
        <x:v>1</x:v>
      </x:c>
      <x:c r="G269" s="10" t="str">
        <x:v>XNAS</x:v>
      </x:c>
      <x:c r="H269" s="10" t="str">
        <x:v>XNYS</x:v>
      </x:c>
      <x:c r="I269" s="32" t="str">
        <x:f>IF(AND(OR(G269=H269,AND(B269="OUST",G269="XNAS",H269="XNYS",LEFT(M269,34)="ouster-marketstack-legacy-nyse-tag")),C269&gt;0,ABS(C269-'Prices'!H269)&lt;=MAX(0.01,'Prices'!H269*0.000001)),"Approved MIC exception","Mismatch")</x:f>
        <x:v>Approved MIC exception</x:v>
      </x:c>
      <x:c r="J269" s="16" t="str">
        <x:v>data/bspi15/raw/marketstack/2026-10-23T11-27-32-056Z/constituents-v2.json</x:v>
      </x:c>
      <x:c r="K269" s="16" t="str"/>
      <x:c r="L269" s="39" t="n">
        <x:v>46318.47745435185</x:v>
      </x:c>
      <x:c r="M269" s="16" t="str">
        <x:v>ouster-marketstack-legacy-nyse-tag; approved 2026-10-14; data/bspi15/provider-mic-exceptions.json</x:v>
      </x:c>
    </x:row>
    <x:row r="270" ht="50" customHeight="1">
      <x:c r="A270" s="8" t="n">
        <x:v>46317</x:v>
      </x:c>
      <x:c r="B270" s="2" t="str">
        <x:v>HSAI</x:v>
      </x:c>
      <x:c r="C270" s="17" t="n">
        <x:v>12.14</x:v>
      </x:c>
      <x:c r="D270" s="17" t="n">
        <x:v>12.14</x:v>
      </x:c>
      <x:c r="E270" s="17" t="n">
        <x:v>0</x:v>
      </x:c>
      <x:c r="F270" s="36" t="n">
        <x:v>1</x:v>
      </x:c>
      <x:c r="G270" s="2" t="str">
        <x:v>XNAS</x:v>
      </x:c>
      <x:c r="H270" s="2" t="str">
        <x:v>XNAS</x:v>
      </x:c>
      <x:c r="I270" s="31" t="str">
        <x:f>IF(AND(G270=H270,C270&gt;0,ABS(C270-'Prices'!H270)&lt;=MAX(0.01,'Prices'!H270*0.000001)),"Match","Mismatch")</x:f>
        <x:v>Match</x:v>
      </x:c>
      <x:c r="J270" s="14" t="str">
        <x:v>data/bspi15/raw/marketstack/2026-10-23T11-27-32-056Z/constituents-v2.json</x:v>
      </x:c>
      <x:c r="K270" s="14" t="str"/>
      <x:c r="L270" s="38" t="n">
        <x:v>46318.47745435185</x:v>
      </x:c>
      <x:c r="M270" s="14" t="str"/>
    </x:row>
    <x:row r="271" ht="50" customHeight="1">
      <x:c r="A271" s="9" t="n">
        <x:v>46317</x:v>
      </x:c>
      <x:c r="B271" s="10" t="str">
        <x:v>ROK</x:v>
      </x:c>
      <x:c r="C271" s="33" t="n">
        <x:v>423.87</x:v>
      </x:c>
      <x:c r="D271" s="33" t="n">
        <x:v>423.87</x:v>
      </x:c>
      <x:c r="E271" s="33" t="n">
        <x:v>0</x:v>
      </x:c>
      <x:c r="F271" s="37" t="n">
        <x:v>1</x:v>
      </x:c>
      <x:c r="G271" s="10" t="str">
        <x:v>XNYS</x:v>
      </x:c>
      <x:c r="H271" s="10" t="str">
        <x:v>XNYS</x:v>
      </x:c>
      <x:c r="I271" s="32" t="str">
        <x:f>IF(AND(G271=H271,C271&gt;0,ABS(C271-'Prices'!H271)&lt;=MAX(0.01,'Prices'!H271*0.000001)),"Match","Mismatch")</x:f>
        <x:v>Match</x:v>
      </x:c>
      <x:c r="J271" s="16" t="str">
        <x:v>data/bspi15/raw/marketstack/2026-10-23T11-27-32-056Z/constituents-v2.json</x:v>
      </x:c>
      <x:c r="K271" s="16" t="str"/>
      <x:c r="L271" s="39" t="n">
        <x:v>46318.47745435185</x:v>
      </x:c>
      <x:c r="M271" s="16" t="str"/>
    </x:row>
    <x:row r="272" ht="50" customHeight="1">
      <x:c r="A272" s="8" t="n">
        <x:v>46317</x:v>
      </x:c>
      <x:c r="B272" s="2" t="str">
        <x:v>SIE</x:v>
      </x:c>
      <x:c r="C272" s="17" t="n">
        <x:v>255.7</x:v>
      </x:c>
      <x:c r="D272" s="17" t="n">
        <x:v>255.7</x:v>
      </x:c>
      <x:c r="E272" s="17" t="n">
        <x:v>0</x:v>
      </x:c>
      <x:c r="F272" s="36" t="n">
        <x:v>1</x:v>
      </x:c>
      <x:c r="G272" s="2" t="str">
        <x:v>XETR</x:v>
      </x:c>
      <x:c r="H272" s="2" t="str">
        <x:v>XETR</x:v>
      </x:c>
      <x:c r="I272" s="31" t="str">
        <x:f>IF(AND(G272=H272,C272&gt;0,ABS(C272-'Prices'!H272)&lt;=MAX(0.01,'Prices'!H272*0.000001)),"Match","Mismatch")</x:f>
        <x:v>Match</x:v>
      </x:c>
      <x:c r="J272" s="14" t="str">
        <x:v>data/bspi15/raw/marketstack/2026-10-23T11-27-32-056Z/constituents-v2.json</x:v>
      </x:c>
      <x:c r="K272" s="14" t="str"/>
      <x:c r="L272" s="38" t="n">
        <x:v>46318.47745435185</x:v>
      </x:c>
      <x:c r="M272" s="14" t="str"/>
    </x:row>
    <x:row r="273" ht="50" customHeight="1">
      <x:c r="A273" s="9" t="n">
        <x:v>46317</x:v>
      </x:c>
      <x:c r="B273" s="10" t="str">
        <x:v>NXPI</x:v>
      </x:c>
      <x:c r="C273" s="33" t="n">
        <x:v>237.79</x:v>
      </x:c>
      <x:c r="D273" s="33" t="n">
        <x:v>237.79</x:v>
      </x:c>
      <x:c r="E273" s="33" t="n">
        <x:v>0</x:v>
      </x:c>
      <x:c r="F273" s="37" t="n">
        <x:v>1</x:v>
      </x:c>
      <x:c r="G273" s="10" t="str">
        <x:v>XNAS</x:v>
      </x:c>
      <x:c r="H273" s="10" t="str">
        <x:v>XNAS</x:v>
      </x:c>
      <x:c r="I273" s="32" t="str">
        <x:f>IF(AND(G273=H273,C273&gt;0,ABS(C273-'Prices'!H273)&lt;=MAX(0.01,'Prices'!H273*0.000001)),"Match","Mismatch")</x:f>
        <x:v>Match</x:v>
      </x:c>
      <x:c r="J273" s="16" t="str">
        <x:v>data/bspi15/raw/marketstack/2026-10-23T11-27-32-056Z/constituents-v2.json</x:v>
      </x:c>
      <x:c r="K273" s="16" t="str"/>
      <x:c r="L273" s="39" t="n">
        <x:v>46318.47745435185</x:v>
      </x:c>
      <x:c r="M273" s="16" t="str"/>
    </x:row>
    <x:row r="274" ht="50" customHeight="1">
      <x:c r="A274" s="8" t="n">
        <x:v>46317</x:v>
      </x:c>
      <x:c r="B274" s="2" t="str">
        <x:v>6383</x:v>
      </x:c>
      <x:c r="C274" s="17" t="n">
        <x:v>5202</x:v>
      </x:c>
      <x:c r="D274" s="17" t="n">
        <x:v>5202</x:v>
      </x:c>
      <x:c r="E274" s="17" t="n">
        <x:v>0</x:v>
      </x:c>
      <x:c r="F274" s="36" t="n">
        <x:v>1</x:v>
      </x:c>
      <x:c r="G274" s="2" t="str">
        <x:v>XJPX</x:v>
      </x:c>
      <x:c r="H274" s="2" t="str">
        <x:v>XJPX</x:v>
      </x:c>
      <x:c r="I274" s="31" t="str">
        <x:f>IF(AND(G274=H274,C274&gt;0,ABS(C274-'Prices'!H274)&lt;=MAX(0.01,'Prices'!H274*0.000001)),"Match","Mismatch")</x:f>
        <x:v>Match</x:v>
      </x:c>
      <x:c r="J274" s="14" t="str">
        <x:v>data/bspi15/raw/marketstack/2026-10-23T11-27-32-056Z/constituents-v2.json</x:v>
      </x:c>
      <x:c r="K274" s="14" t="str"/>
      <x:c r="L274" s="38" t="n">
        <x:v>46318.47745435185</x:v>
      </x:c>
      <x:c r="M274" s="14" t="str"/>
    </x:row>
    <x:row r="275" ht="50" customHeight="1">
      <x:c r="A275" s="9" t="n">
        <x:v>46317</x:v>
      </x:c>
      <x:c r="B275" s="10" t="str">
        <x:v>HEXA B</x:v>
      </x:c>
      <x:c r="C275" s="33" t="n">
        <x:v>102.05</x:v>
      </x:c>
      <x:c r="D275" s="33" t="n">
        <x:v>102.05</x:v>
      </x:c>
      <x:c r="E275" s="33" t="n">
        <x:v>0</x:v>
      </x:c>
      <x:c r="F275" s="37" t="n">
        <x:v>1</x:v>
      </x:c>
      <x:c r="G275" s="10" t="str">
        <x:v>XSTO</x:v>
      </x:c>
      <x:c r="H275" s="10" t="str">
        <x:v>XSTO</x:v>
      </x:c>
      <x:c r="I275" s="32" t="str">
        <x:f>IF(AND(G275=H275,C275&gt;0,ABS(C275-'Prices'!H275)&lt;=MAX(0.01,'Prices'!H275*0.000001)),"Match","Mismatch")</x:f>
        <x:v>Match</x:v>
      </x:c>
      <x:c r="J275" s="16" t="str">
        <x:v>data/bspi15/raw/marketstack/2026-10-23T11-27-32-056Z/constituents-v2.json</x:v>
      </x:c>
      <x:c r="K275" s="16" t="str"/>
      <x:c r="L275" s="39" t="n">
        <x:v>46318.47745435185</x:v>
      </x:c>
      <x:c r="M275" s="16" t="str"/>
    </x:row>
    <x:row r="276" ht="50" customHeight="1">
      <x:c r="A276" s="8" t="n">
        <x:v>46317</x:v>
      </x:c>
      <x:c r="B276" s="2" t="str">
        <x:v>S&amp;P 500</x:v>
      </x:c>
      <x:c r="C276" s="17" t="n">
        <x:v>7663.43</x:v>
      </x:c>
      <x:c r="D276" s="17" t="n">
        <x:v>7663.43</x:v>
      </x:c>
      <x:c r="E276" s="17" t="n">
        <x:v>0</x:v>
      </x:c>
      <x:c r="F276" s="36" t="n">
        <x:v>1</x:v>
      </x:c>
      <x:c r="G276" s="2" t="str">
        <x:v>INDX</x:v>
      </x:c>
      <x:c r="H276" s="2" t="str">
        <x:v>INDX</x:v>
      </x:c>
      <x:c r="I276" s="31" t="str">
        <x:f>IF(AND(G276=H276,C276&gt;0,ABS(C276-'Prices'!H276)&lt;=MAX(0.01,'Prices'!H276*0.000001)),"Match","Mismatch")</x:f>
        <x:v>Match</x:v>
      </x:c>
      <x:c r="J276" s="14" t="str">
        <x:v>data/bspi15/raw/marketstack/2026-10-23T11-27-32-056Z/benchmarks-v1.json</x:v>
      </x:c>
      <x:c r="K276" s="14" t="str"/>
      <x:c r="L276" s="38" t="n">
        <x:v>46318.47745435185</x:v>
      </x:c>
      <x:c r="M276" s="14" t="str"/>
    </x:row>
    <x:row r="277" ht="50" customHeight="1">
      <x:c r="A277" s="9" t="n">
        <x:v>46317</x:v>
      </x:c>
      <x:c r="B277" s="10" t="str">
        <x:v>Nasdaq Composite</x:v>
      </x:c>
      <x:c r="C277" s="33" t="n">
        <x:v>26008.8594</x:v>
      </x:c>
      <x:c r="D277" s="33" t="n">
        <x:v>26008.8594</x:v>
      </x:c>
      <x:c r="E277" s="33" t="n">
        <x:v>0</x:v>
      </x:c>
      <x:c r="F277" s="37" t="n">
        <x:v>1</x:v>
      </x:c>
      <x:c r="G277" s="10" t="str">
        <x:v>INDX</x:v>
      </x:c>
      <x:c r="H277" s="10" t="str">
        <x:v>INDX</x:v>
      </x:c>
      <x:c r="I277" s="32" t="str">
        <x:f>IF(AND(G277=H277,C277&gt;0,ABS(C277-'Prices'!H277)&lt;=MAX(0.01,'Prices'!H277*0.000001)),"Match","Mismatch")</x:f>
        <x:v>Match</x:v>
      </x:c>
      <x:c r="J277" s="16" t="str">
        <x:v>data/bspi15/raw/marketstack/2026-10-23T11-27-32-056Z/benchmarks-v1.json</x:v>
      </x:c>
      <x:c r="K277" s="16" t="str"/>
      <x:c r="L277" s="39" t="n">
        <x:v>46318.47745435185</x:v>
      </x:c>
      <x:c r="M277" s="16" t="str"/>
    </x:row>
    <x:row r="278" ht="50" customHeight="1">
      <x:c r="A278" s="8" t="n">
        <x:v>46318</x:v>
      </x:c>
      <x:c r="B278" s="2" t="str">
        <x:v>6954</x:v>
      </x:c>
      <x:c r="C278" s="17" t="n">
        <x:v>5587</x:v>
      </x:c>
      <x:c r="D278" s="17" t="n">
        <x:v>5587</x:v>
      </x:c>
      <x:c r="E278" s="17" t="n">
        <x:v>0</x:v>
      </x:c>
      <x:c r="F278" s="36" t="n">
        <x:v>1</x:v>
      </x:c>
      <x:c r="G278" s="2" t="str">
        <x:v>XJPX</x:v>
      </x:c>
      <x:c r="H278" s="2" t="str">
        <x:v>XJPX</x:v>
      </x:c>
      <x:c r="I278" s="31" t="str">
        <x:f>IF(AND(G278=H278,C278&gt;0,ABS(C278-'Prices'!H278)&lt;=MAX(0.01,'Prices'!H278*0.000001)),"Match","Mismatch")</x:f>
        <x:v>Match</x:v>
      </x:c>
      <x:c r="J278" s="14" t="str">
        <x:v>data/bspi15/raw/marketstack/2026-10-24T11-29-06-564Z/constituents-v2.json</x:v>
      </x:c>
      <x:c r="K278" s="14" t="str"/>
      <x:c r="L278" s="38" t="n">
        <x:v>46319.47854819444</x:v>
      </x:c>
      <x:c r="M278" s="14" t="str"/>
    </x:row>
    <x:row r="279" ht="50" customHeight="1">
      <x:c r="A279" s="9" t="n">
        <x:v>46318</x:v>
      </x:c>
      <x:c r="B279" s="10" t="str">
        <x:v>6506</x:v>
      </x:c>
      <x:c r="C279" s="33" t="n">
        <x:v>4022</x:v>
      </x:c>
      <x:c r="D279" s="33" t="n">
        <x:v>4022</x:v>
      </x:c>
      <x:c r="E279" s="33" t="n">
        <x:v>0</x:v>
      </x:c>
      <x:c r="F279" s="37" t="n">
        <x:v>1</x:v>
      </x:c>
      <x:c r="G279" s="10" t="str">
        <x:v>XJPX</x:v>
      </x:c>
      <x:c r="H279" s="10" t="str">
        <x:v>XJPX</x:v>
      </x:c>
      <x:c r="I279" s="32" t="str">
        <x:f>IF(AND(G279=H279,C279&gt;0,ABS(C279-'Prices'!H279)&lt;=MAX(0.01,'Prices'!H279*0.000001)),"Match","Mismatch")</x:f>
        <x:v>Match</x:v>
      </x:c>
      <x:c r="J279" s="16" t="str">
        <x:v>data/bspi15/raw/marketstack/2026-10-24T11-29-06-564Z/constituents-v2.json</x:v>
      </x:c>
      <x:c r="K279" s="16" t="str"/>
      <x:c r="L279" s="39" t="n">
        <x:v>46319.47854819444</x:v>
      </x:c>
      <x:c r="M279" s="16" t="str"/>
    </x:row>
    <x:row r="280" ht="50" customHeight="1">
      <x:c r="A280" s="8" t="n">
        <x:v>46318</x:v>
      </x:c>
      <x:c r="B280" s="13" t="str">
        <x:v>002747</x:v>
      </x:c>
      <x:c r="C280" s="17" t="n">
        <x:v>29.18</x:v>
      </x:c>
      <x:c r="D280" s="17" t="n">
        <x:v>29.18</x:v>
      </x:c>
      <x:c r="E280" s="17" t="n">
        <x:v>0</x:v>
      </x:c>
      <x:c r="F280" s="36" t="n">
        <x:v>1</x:v>
      </x:c>
      <x:c r="G280" s="2" t="str">
        <x:v>XSHE</x:v>
      </x:c>
      <x:c r="H280" s="2" t="str">
        <x:v>XSHE</x:v>
      </x:c>
      <x:c r="I280" s="31" t="str">
        <x:f>IF(AND(G280=H280,C280&gt;0,ABS(C280-'Prices'!H280)&lt;=MAX(0.01,'Prices'!H280*0.000001)),"Match","Mismatch")</x:f>
        <x:v>Match</x:v>
      </x:c>
      <x:c r="J280" s="14" t="str">
        <x:v>data/bspi15/raw/marketstack/2026-10-24T11-29-06-564Z/constituents-v2.json</x:v>
      </x:c>
      <x:c r="K280" s="14" t="str"/>
      <x:c r="L280" s="38" t="n">
        <x:v>46319.47854819444</x:v>
      </x:c>
      <x:c r="M280" s="14" t="str"/>
    </x:row>
    <x:row r="281" ht="50" customHeight="1">
      <x:c r="A281" s="9" t="n">
        <x:v>46318</x:v>
      </x:c>
      <x:c r="B281" s="10" t="str">
        <x:v>TER</x:v>
      </x:c>
      <x:c r="C281" s="33" t="n">
        <x:v>308.85</x:v>
      </x:c>
      <x:c r="D281" s="33" t="n">
        <x:v>308.85</x:v>
      </x:c>
      <x:c r="E281" s="33" t="n">
        <x:v>0</x:v>
      </x:c>
      <x:c r="F281" s="37" t="n">
        <x:v>1</x:v>
      </x:c>
      <x:c r="G281" s="10" t="str">
        <x:v>XNAS</x:v>
      </x:c>
      <x:c r="H281" s="10" t="str">
        <x:v>XNAS</x:v>
      </x:c>
      <x:c r="I281" s="32" t="str">
        <x:f>IF(AND(G281=H281,C281&gt;0,ABS(C281-'Prices'!H281)&lt;=MAX(0.01,'Prices'!H281*0.000001)),"Match","Mismatch")</x:f>
        <x:v>Match</x:v>
      </x:c>
      <x:c r="J281" s="16" t="str">
        <x:v>data/bspi15/raw/marketstack/2026-10-24T11-29-06-564Z/constituents-v2.json</x:v>
      </x:c>
      <x:c r="K281" s="16" t="str"/>
      <x:c r="L281" s="39" t="n">
        <x:v>46319.47854819444</x:v>
      </x:c>
      <x:c r="M281" s="16" t="str"/>
    </x:row>
    <x:row r="282" ht="50" customHeight="1">
      <x:c r="A282" s="8" t="n">
        <x:v>46318</x:v>
      </x:c>
      <x:c r="B282" s="2" t="str">
        <x:v>6268</x:v>
      </x:c>
      <x:c r="C282" s="17" t="n">
        <x:v>4118</x:v>
      </x:c>
      <x:c r="D282" s="17" t="n">
        <x:v>4118</x:v>
      </x:c>
      <x:c r="E282" s="17" t="n">
        <x:v>0</x:v>
      </x:c>
      <x:c r="F282" s="36" t="n">
        <x:v>1</x:v>
      </x:c>
      <x:c r="G282" s="2" t="str">
        <x:v>XJPX</x:v>
      </x:c>
      <x:c r="H282" s="2" t="str">
        <x:v>XJPX</x:v>
      </x:c>
      <x:c r="I282" s="31" t="str">
        <x:f>IF(AND(G282=H282,C282&gt;0,ABS(C282-'Prices'!H282)&lt;=MAX(0.01,'Prices'!H282*0.000001)),"Match","Mismatch")</x:f>
        <x:v>Match</x:v>
      </x:c>
      <x:c r="J282" s="14" t="str">
        <x:v>data/bspi15/raw/marketstack/2026-10-24T11-29-06-564Z/constituents-v2.json</x:v>
      </x:c>
      <x:c r="K282" s="14" t="str"/>
      <x:c r="L282" s="38" t="n">
        <x:v>46319.47854819444</x:v>
      </x:c>
      <x:c r="M282" s="14" t="str"/>
    </x:row>
    <x:row r="283" ht="50" customHeight="1">
      <x:c r="A283" s="9" t="n">
        <x:v>46318</x:v>
      </x:c>
      <x:c r="B283" s="10" t="str">
        <x:v>300124</x:v>
      </x:c>
      <x:c r="C283" s="33" t="n">
        <x:v>53.5</x:v>
      </x:c>
      <x:c r="D283" s="33" t="n">
        <x:v>53.5</x:v>
      </x:c>
      <x:c r="E283" s="33" t="n">
        <x:v>0</x:v>
      </x:c>
      <x:c r="F283" s="37" t="n">
        <x:v>1</x:v>
      </x:c>
      <x:c r="G283" s="10" t="str">
        <x:v>XSHE</x:v>
      </x:c>
      <x:c r="H283" s="10" t="str">
        <x:v>XSHE</x:v>
      </x:c>
      <x:c r="I283" s="32" t="str">
        <x:f>IF(AND(G283=H283,C283&gt;0,ABS(C283-'Prices'!H283)&lt;=MAX(0.01,'Prices'!H283*0.000001)),"Match","Mismatch")</x:f>
        <x:v>Match</x:v>
      </x:c>
      <x:c r="J283" s="16" t="str">
        <x:v>data/bspi15/raw/marketstack/2026-10-24T11-29-06-564Z/constituents-v2.json</x:v>
      </x:c>
      <x:c r="K283" s="16" t="str"/>
      <x:c r="L283" s="39" t="n">
        <x:v>46319.47854819444</x:v>
      </x:c>
      <x:c r="M283" s="16" t="str"/>
    </x:row>
    <x:row r="284" ht="50" customHeight="1">
      <x:c r="A284" s="8" t="n">
        <x:v>46318</x:v>
      </x:c>
      <x:c r="B284" s="2" t="str">
        <x:v>6861</x:v>
      </x:c>
      <x:c r="C284" s="17" t="n">
        <x:v>78380</x:v>
      </x:c>
      <x:c r="D284" s="17" t="n">
        <x:v>78380</x:v>
      </x:c>
      <x:c r="E284" s="17" t="n">
        <x:v>0</x:v>
      </x:c>
      <x:c r="F284" s="36" t="n">
        <x:v>1</x:v>
      </x:c>
      <x:c r="G284" s="2" t="str">
        <x:v>XJPX</x:v>
      </x:c>
      <x:c r="H284" s="2" t="str">
        <x:v>XJPX</x:v>
      </x:c>
      <x:c r="I284" s="31" t="str">
        <x:f>IF(AND(G284=H284,C284&gt;0,ABS(C284-'Prices'!H284)&lt;=MAX(0.01,'Prices'!H284*0.000001)),"Match","Mismatch")</x:f>
        <x:v>Match</x:v>
      </x:c>
      <x:c r="J284" s="14" t="str">
        <x:v>data/bspi15/raw/marketstack/2026-10-24T11-29-06-564Z/constituents-v2.json</x:v>
      </x:c>
      <x:c r="K284" s="14" t="str"/>
      <x:c r="L284" s="38" t="n">
        <x:v>46319.47854819444</x:v>
      </x:c>
      <x:c r="M284" s="14" t="str"/>
    </x:row>
    <x:row r="285" ht="50" customHeight="1">
      <x:c r="A285" s="9" t="n">
        <x:v>46318</x:v>
      </x:c>
      <x:c r="B285" s="10" t="str">
        <x:v>CGNX</x:v>
      </x:c>
      <x:c r="C285" s="33" t="n">
        <x:v>55.55</x:v>
      </x:c>
      <x:c r="D285" s="33" t="n">
        <x:v>55.55</x:v>
      </x:c>
      <x:c r="E285" s="33" t="n">
        <x:v>0</x:v>
      </x:c>
      <x:c r="F285" s="37" t="n">
        <x:v>1</x:v>
      </x:c>
      <x:c r="G285" s="10" t="str">
        <x:v>XNAS</x:v>
      </x:c>
      <x:c r="H285" s="10" t="str">
        <x:v>XNAS</x:v>
      </x:c>
      <x:c r="I285" s="32" t="str">
        <x:f>IF(AND(G285=H285,C285&gt;0,ABS(C285-'Prices'!H285)&lt;=MAX(0.01,'Prices'!H285*0.000001)),"Match","Mismatch")</x:f>
        <x:v>Match</x:v>
      </x:c>
      <x:c r="J285" s="16" t="str">
        <x:v>data/bspi15/raw/marketstack/2026-10-24T11-29-06-564Z/constituents-v2.json</x:v>
      </x:c>
      <x:c r="K285" s="16" t="str"/>
      <x:c r="L285" s="39" t="n">
        <x:v>46319.47854819444</x:v>
      </x:c>
      <x:c r="M285" s="16" t="str"/>
    </x:row>
    <x:row r="286" ht="50" customHeight="1">
      <x:c r="A286" s="8" t="n">
        <x:v>46318</x:v>
      </x:c>
      <x:c r="B286" s="2" t="str">
        <x:v>OUST</x:v>
      </x:c>
      <x:c r="C286" s="17" t="n">
        <x:v>29.69</x:v>
      </x:c>
      <x:c r="D286" s="17" t="n">
        <x:v>29.69</x:v>
      </x:c>
      <x:c r="E286" s="17" t="n">
        <x:v>0</x:v>
      </x:c>
      <x:c r="F286" s="36" t="n">
        <x:v>1</x:v>
      </x:c>
      <x:c r="G286" s="2" t="str">
        <x:v>XNAS</x:v>
      </x:c>
      <x:c r="H286" s="2" t="str">
        <x:v>XNYS</x:v>
      </x:c>
      <x:c r="I286" s="31" t="str">
        <x:f>IF(AND(OR(G286=H286,AND(B286="OUST",G286="XNAS",H286="XNYS",LEFT(M286,34)="ouster-marketstack-legacy-nyse-tag")),C286&gt;0,ABS(C286-'Prices'!H286)&lt;=MAX(0.01,'Prices'!H286*0.000001)),"Approved MIC exception","Mismatch")</x:f>
        <x:v>Approved MIC exception</x:v>
      </x:c>
      <x:c r="J286" s="14" t="str">
        <x:v>data/bspi15/raw/marketstack/2026-10-24T11-29-06-564Z/constituents-v2.json</x:v>
      </x:c>
      <x:c r="K286" s="14" t="str"/>
      <x:c r="L286" s="38" t="n">
        <x:v>46319.47854819444</x:v>
      </x:c>
      <x:c r="M286" s="14" t="str">
        <x:v>ouster-marketstack-legacy-nyse-tag; approved 2026-10-14; data/bspi15/provider-mic-exceptions.json</x:v>
      </x:c>
    </x:row>
    <x:row r="287" ht="50" customHeight="1">
      <x:c r="A287" s="9" t="n">
        <x:v>46318</x:v>
      </x:c>
      <x:c r="B287" s="10" t="str">
        <x:v>HSAI</x:v>
      </x:c>
      <x:c r="C287" s="33" t="n">
        <x:v>13.13</x:v>
      </x:c>
      <x:c r="D287" s="33" t="n">
        <x:v>13.13</x:v>
      </x:c>
      <x:c r="E287" s="33" t="n">
        <x:v>0</x:v>
      </x:c>
      <x:c r="F287" s="37" t="n">
        <x:v>1</x:v>
      </x:c>
      <x:c r="G287" s="10" t="str">
        <x:v>XNAS</x:v>
      </x:c>
      <x:c r="H287" s="10" t="str">
        <x:v>XNAS</x:v>
      </x:c>
      <x:c r="I287" s="32" t="str">
        <x:f>IF(AND(G287=H287,C287&gt;0,ABS(C287-'Prices'!H287)&lt;=MAX(0.01,'Prices'!H287*0.000001)),"Match","Mismatch")</x:f>
        <x:v>Match</x:v>
      </x:c>
      <x:c r="J287" s="16" t="str">
        <x:v>data/bspi15/raw/marketstack/2026-10-24T11-29-06-564Z/constituents-v2.json</x:v>
      </x:c>
      <x:c r="K287" s="16" t="str"/>
      <x:c r="L287" s="39" t="n">
        <x:v>46319.47854819444</x:v>
      </x:c>
      <x:c r="M287" s="16" t="str"/>
    </x:row>
    <x:row r="288" ht="50" customHeight="1">
      <x:c r="A288" s="8" t="n">
        <x:v>46318</x:v>
      </x:c>
      <x:c r="B288" s="2" t="str">
        <x:v>ROK</x:v>
      </x:c>
      <x:c r="C288" s="17" t="n">
        <x:v>426.11</x:v>
      </x:c>
      <x:c r="D288" s="17" t="n">
        <x:v>426.11</x:v>
      </x:c>
      <x:c r="E288" s="17" t="n">
        <x:v>0</x:v>
      </x:c>
      <x:c r="F288" s="36" t="n">
        <x:v>1</x:v>
      </x:c>
      <x:c r="G288" s="2" t="str">
        <x:v>XNYS</x:v>
      </x:c>
      <x:c r="H288" s="2" t="str">
        <x:v>XNYS</x:v>
      </x:c>
      <x:c r="I288" s="31" t="str">
        <x:f>IF(AND(G288=H288,C288&gt;0,ABS(C288-'Prices'!H288)&lt;=MAX(0.01,'Prices'!H288*0.000001)),"Match","Mismatch")</x:f>
        <x:v>Match</x:v>
      </x:c>
      <x:c r="J288" s="14" t="str">
        <x:v>data/bspi15/raw/marketstack/2026-10-24T11-29-06-564Z/constituents-v2.json</x:v>
      </x:c>
      <x:c r="K288" s="14" t="str"/>
      <x:c r="L288" s="38" t="n">
        <x:v>46319.47854819444</x:v>
      </x:c>
      <x:c r="M288" s="14" t="str"/>
    </x:row>
    <x:row r="289" ht="50" customHeight="1">
      <x:c r="A289" s="9" t="n">
        <x:v>46318</x:v>
      </x:c>
      <x:c r="B289" s="10" t="str">
        <x:v>SIE</x:v>
      </x:c>
      <x:c r="C289" s="33" t="n">
        <x:v>256.8</x:v>
      </x:c>
      <x:c r="D289" s="33" t="n">
        <x:v>256.8</x:v>
      </x:c>
      <x:c r="E289" s="33" t="n">
        <x:v>0</x:v>
      </x:c>
      <x:c r="F289" s="37" t="n">
        <x:v>1</x:v>
      </x:c>
      <x:c r="G289" s="10" t="str">
        <x:v>XETR</x:v>
      </x:c>
      <x:c r="H289" s="10" t="str">
        <x:v>XETR</x:v>
      </x:c>
      <x:c r="I289" s="32" t="str">
        <x:f>IF(AND(G289=H289,C289&gt;0,ABS(C289-'Prices'!H289)&lt;=MAX(0.01,'Prices'!H289*0.000001)),"Match","Mismatch")</x:f>
        <x:v>Match</x:v>
      </x:c>
      <x:c r="J289" s="16" t="str">
        <x:v>data/bspi15/raw/marketstack/2026-10-24T11-29-06-564Z/constituents-v2.json</x:v>
      </x:c>
      <x:c r="K289" s="16" t="str"/>
      <x:c r="L289" s="39" t="n">
        <x:v>46319.47854819444</x:v>
      </x:c>
      <x:c r="M289" s="16" t="str"/>
    </x:row>
    <x:row r="290" ht="50" customHeight="1">
      <x:c r="A290" s="8" t="n">
        <x:v>46318</x:v>
      </x:c>
      <x:c r="B290" s="2" t="str">
        <x:v>NXPI</x:v>
      </x:c>
      <x:c r="C290" s="17" t="n">
        <x:v>234.92</x:v>
      </x:c>
      <x:c r="D290" s="17" t="n">
        <x:v>234.92</x:v>
      </x:c>
      <x:c r="E290" s="17" t="n">
        <x:v>0</x:v>
      </x:c>
      <x:c r="F290" s="36" t="n">
        <x:v>1</x:v>
      </x:c>
      <x:c r="G290" s="2" t="str">
        <x:v>XNAS</x:v>
      </x:c>
      <x:c r="H290" s="2" t="str">
        <x:v>XNAS</x:v>
      </x:c>
      <x:c r="I290" s="31" t="str">
        <x:f>IF(AND(G290=H290,C290&gt;0,ABS(C290-'Prices'!H290)&lt;=MAX(0.01,'Prices'!H290*0.000001)),"Match","Mismatch")</x:f>
        <x:v>Match</x:v>
      </x:c>
      <x:c r="J290" s="14" t="str">
        <x:v>data/bspi15/raw/marketstack/2026-10-24T11-29-06-564Z/constituents-v2.json</x:v>
      </x:c>
      <x:c r="K290" s="14" t="str"/>
      <x:c r="L290" s="38" t="n">
        <x:v>46319.47854819444</x:v>
      </x:c>
      <x:c r="M290" s="14" t="str"/>
    </x:row>
    <x:row r="291" ht="50" customHeight="1">
      <x:c r="A291" s="9" t="n">
        <x:v>46318</x:v>
      </x:c>
      <x:c r="B291" s="10" t="str">
        <x:v>6383</x:v>
      </x:c>
      <x:c r="C291" s="33" t="n">
        <x:v>5199</x:v>
      </x:c>
      <x:c r="D291" s="33" t="n">
        <x:v>5199</x:v>
      </x:c>
      <x:c r="E291" s="33" t="n">
        <x:v>0</x:v>
      </x:c>
      <x:c r="F291" s="37" t="n">
        <x:v>1</x:v>
      </x:c>
      <x:c r="G291" s="10" t="str">
        <x:v>XJPX</x:v>
      </x:c>
      <x:c r="H291" s="10" t="str">
        <x:v>XJPX</x:v>
      </x:c>
      <x:c r="I291" s="32" t="str">
        <x:f>IF(AND(G291=H291,C291&gt;0,ABS(C291-'Prices'!H291)&lt;=MAX(0.01,'Prices'!H291*0.000001)),"Match","Mismatch")</x:f>
        <x:v>Match</x:v>
      </x:c>
      <x:c r="J291" s="16" t="str">
        <x:v>data/bspi15/raw/marketstack/2026-10-24T11-29-06-564Z/constituents-v2.json</x:v>
      </x:c>
      <x:c r="K291" s="16" t="str"/>
      <x:c r="L291" s="39" t="n">
        <x:v>46319.47854819444</x:v>
      </x:c>
      <x:c r="M291" s="16" t="str"/>
    </x:row>
    <x:row r="292" ht="50" customHeight="1">
      <x:c r="A292" s="8" t="n">
        <x:v>46318</x:v>
      </x:c>
      <x:c r="B292" s="2" t="str">
        <x:v>HEXA B</x:v>
      </x:c>
      <x:c r="C292" s="17" t="n">
        <x:v>106.05</x:v>
      </x:c>
      <x:c r="D292" s="17" t="n">
        <x:v>106.05</x:v>
      </x:c>
      <x:c r="E292" s="17" t="n">
        <x:v>0</x:v>
      </x:c>
      <x:c r="F292" s="36" t="n">
        <x:v>1</x:v>
      </x:c>
      <x:c r="G292" s="2" t="str">
        <x:v>XSTO</x:v>
      </x:c>
      <x:c r="H292" s="2" t="str">
        <x:v>XSTO</x:v>
      </x:c>
      <x:c r="I292" s="31" t="str">
        <x:f>IF(AND(G292=H292,C292&gt;0,ABS(C292-'Prices'!H292)&lt;=MAX(0.01,'Prices'!H292*0.000001)),"Match","Mismatch")</x:f>
        <x:v>Match</x:v>
      </x:c>
      <x:c r="J292" s="14" t="str">
        <x:v>data/bspi15/raw/marketstack/2026-10-24T11-29-06-564Z/constituents-v2.json</x:v>
      </x:c>
      <x:c r="K292" s="14" t="str"/>
      <x:c r="L292" s="38" t="n">
        <x:v>46319.47854819444</x:v>
      </x:c>
      <x:c r="M292" s="14" t="str"/>
    </x:row>
    <x:row r="293" ht="50" customHeight="1">
      <x:c r="A293" s="9" t="n">
        <x:v>46318</x:v>
      </x:c>
      <x:c r="B293" s="10" t="str">
        <x:v>S&amp;P 500</x:v>
      </x:c>
      <x:c r="C293" s="33" t="n">
        <x:v>7623.68</x:v>
      </x:c>
      <x:c r="D293" s="33" t="n">
        <x:v>7623.68</x:v>
      </x:c>
      <x:c r="E293" s="33" t="n">
        <x:v>0</x:v>
      </x:c>
      <x:c r="F293" s="37" t="n">
        <x:v>1</x:v>
      </x:c>
      <x:c r="G293" s="10" t="str">
        <x:v>INDX</x:v>
      </x:c>
      <x:c r="H293" s="10" t="str">
        <x:v>INDX</x:v>
      </x:c>
      <x:c r="I293" s="32" t="str">
        <x:f>IF(AND(G293=H293,C293&gt;0,ABS(C293-'Prices'!H293)&lt;=MAX(0.01,'Prices'!H293*0.000001)),"Match","Mismatch")</x:f>
        <x:v>Match</x:v>
      </x:c>
      <x:c r="J293" s="16" t="str">
        <x:v>data/bspi15/raw/marketstack/2026-10-24T11-29-06-564Z/benchmarks-v1.json</x:v>
      </x:c>
      <x:c r="K293" s="16" t="str"/>
      <x:c r="L293" s="39" t="n">
        <x:v>46319.47854819444</x:v>
      </x:c>
      <x:c r="M293" s="16" t="str"/>
    </x:row>
    <x:row r="294" ht="50" customHeight="1">
      <x:c r="A294" s="8" t="n">
        <x:v>46318</x:v>
      </x:c>
      <x:c r="B294" s="2" t="str">
        <x:v>Nasdaq Composite</x:v>
      </x:c>
      <x:c r="C294" s="17" t="n">
        <x:v>25955.3398</x:v>
      </x:c>
      <x:c r="D294" s="17" t="n">
        <x:v>25955.3398</x:v>
      </x:c>
      <x:c r="E294" s="17" t="n">
        <x:v>0</x:v>
      </x:c>
      <x:c r="F294" s="36" t="n">
        <x:v>1</x:v>
      </x:c>
      <x:c r="G294" s="2" t="str">
        <x:v>INDX</x:v>
      </x:c>
      <x:c r="H294" s="2" t="str">
        <x:v>INDX</x:v>
      </x:c>
      <x:c r="I294" s="31" t="str">
        <x:f>IF(AND(G294=H294,C294&gt;0,ABS(C294-'Prices'!H294)&lt;=MAX(0.01,'Prices'!H294*0.000001)),"Match","Mismatch")</x:f>
        <x:v>Match</x:v>
      </x:c>
      <x:c r="J294" s="14" t="str">
        <x:v>data/bspi15/raw/marketstack/2026-10-24T11-29-06-564Z/benchmarks-v1.json</x:v>
      </x:c>
      <x:c r="K294" s="14" t="str"/>
      <x:c r="L294" s="38" t="n">
        <x:v>46319.47854819444</x:v>
      </x:c>
      <x:c r="M294" s="14" t="str"/>
    </x:row>
    <x:row r="295" ht="50" customHeight="1">
      <x:c r="A295" s="9" t="n">
        <x:v>46321</x:v>
      </x:c>
      <x:c r="B295" s="10" t="str">
        <x:v>6954</x:v>
      </x:c>
      <x:c r="C295" s="33" t="n">
        <x:v>5639</x:v>
      </x:c>
      <x:c r="D295" s="33" t="n">
        <x:v>5639</x:v>
      </x:c>
      <x:c r="E295" s="33" t="n">
        <x:v>0</x:v>
      </x:c>
      <x:c r="F295" s="37" t="n">
        <x:v>1</x:v>
      </x:c>
      <x:c r="G295" s="10" t="str">
        <x:v>XJPX</x:v>
      </x:c>
      <x:c r="H295" s="10" t="str">
        <x:v>XJPX</x:v>
      </x:c>
      <x:c r="I295" s="32" t="str">
        <x:f>IF(AND(G295=H295,C295&gt;0,ABS(C295-'Prices'!H295)&lt;=MAX(0.01,'Prices'!H295*0.000001)),"Match","Mismatch")</x:f>
        <x:v>Match</x:v>
      </x:c>
      <x:c r="J295" s="16" t="str">
        <x:v>data/bspi15/raw/marketstack/2026-10-27T11-26-35-870Z/constituents-v2.json</x:v>
      </x:c>
      <x:c r="K295" s="16" t="str"/>
      <x:c r="L295" s="39" t="n">
        <x:v>46322.47680405092</x:v>
      </x:c>
      <x:c r="M295" s="16" t="str"/>
    </x:row>
    <x:row r="296" ht="50" customHeight="1">
      <x:c r="A296" s="8" t="n">
        <x:v>46321</x:v>
      </x:c>
      <x:c r="B296" s="2" t="str">
        <x:v>6506</x:v>
      </x:c>
      <x:c r="C296" s="17" t="n">
        <x:v>3980</x:v>
      </x:c>
      <x:c r="D296" s="17" t="n">
        <x:v>3980</x:v>
      </x:c>
      <x:c r="E296" s="17" t="n">
        <x:v>0</x:v>
      </x:c>
      <x:c r="F296" s="36" t="n">
        <x:v>1</x:v>
      </x:c>
      <x:c r="G296" s="2" t="str">
        <x:v>XJPX</x:v>
      </x:c>
      <x:c r="H296" s="2" t="str">
        <x:v>XJPX</x:v>
      </x:c>
      <x:c r="I296" s="31" t="str">
        <x:f>IF(AND(G296=H296,C296&gt;0,ABS(C296-'Prices'!H296)&lt;=MAX(0.01,'Prices'!H296*0.000001)),"Match","Mismatch")</x:f>
        <x:v>Match</x:v>
      </x:c>
      <x:c r="J296" s="14" t="str">
        <x:v>data/bspi15/raw/marketstack/2026-10-27T11-26-35-870Z/constituents-v2.json</x:v>
      </x:c>
      <x:c r="K296" s="14" t="str"/>
      <x:c r="L296" s="38" t="n">
        <x:v>46322.47680405092</x:v>
      </x:c>
      <x:c r="M296" s="14" t="str"/>
    </x:row>
    <x:row r="297" ht="50" customHeight="1">
      <x:c r="A297" s="9" t="n">
        <x:v>46321</x:v>
      </x:c>
      <x:c r="B297" s="15" t="str">
        <x:v>002747</x:v>
      </x:c>
      <x:c r="C297" s="33" t="n">
        <x:v>30.59</x:v>
      </x:c>
      <x:c r="D297" s="33" t="n">
        <x:v>30.59</x:v>
      </x:c>
      <x:c r="E297" s="33" t="n">
        <x:v>0</x:v>
      </x:c>
      <x:c r="F297" s="37" t="n">
        <x:v>1</x:v>
      </x:c>
      <x:c r="G297" s="10" t="str">
        <x:v>XSHE</x:v>
      </x:c>
      <x:c r="H297" s="10" t="str">
        <x:v>XSHE</x:v>
      </x:c>
      <x:c r="I297" s="32" t="str">
        <x:f>IF(AND(G297=H297,C297&gt;0,ABS(C297-'Prices'!H297)&lt;=MAX(0.01,'Prices'!H297*0.000001)),"Match","Mismatch")</x:f>
        <x:v>Match</x:v>
      </x:c>
      <x:c r="J297" s="16" t="str">
        <x:v>data/bspi15/raw/marketstack/2026-10-27T11-26-35-870Z/constituents-v2.json</x:v>
      </x:c>
      <x:c r="K297" s="16" t="str"/>
      <x:c r="L297" s="39" t="n">
        <x:v>46322.47680405092</x:v>
      </x:c>
      <x:c r="M297" s="16" t="str"/>
    </x:row>
    <x:row r="298" ht="50" customHeight="1">
      <x:c r="A298" s="8" t="n">
        <x:v>46321</x:v>
      </x:c>
      <x:c r="B298" s="2" t="str">
        <x:v>TER</x:v>
      </x:c>
      <x:c r="C298" s="17" t="n">
        <x:v>309</x:v>
      </x:c>
      <x:c r="D298" s="17" t="n">
        <x:v>309</x:v>
      </x:c>
      <x:c r="E298" s="17" t="n">
        <x:v>0</x:v>
      </x:c>
      <x:c r="F298" s="36" t="n">
        <x:v>1</x:v>
      </x:c>
      <x:c r="G298" s="2" t="str">
        <x:v>XNAS</x:v>
      </x:c>
      <x:c r="H298" s="2" t="str">
        <x:v>XNAS</x:v>
      </x:c>
      <x:c r="I298" s="31" t="str">
        <x:f>IF(AND(G298=H298,C298&gt;0,ABS(C298-'Prices'!H298)&lt;=MAX(0.01,'Prices'!H298*0.000001)),"Match","Mismatch")</x:f>
        <x:v>Match</x:v>
      </x:c>
      <x:c r="J298" s="14" t="str">
        <x:v>data/bspi15/raw/marketstack/2026-10-27T11-26-35-870Z/constituents-v2.json</x:v>
      </x:c>
      <x:c r="K298" s="14" t="str"/>
      <x:c r="L298" s="38" t="n">
        <x:v>46322.47680405092</x:v>
      </x:c>
      <x:c r="M298" s="14" t="str"/>
    </x:row>
    <x:row r="299" ht="50" customHeight="1">
      <x:c r="A299" s="9" t="n">
        <x:v>46321</x:v>
      </x:c>
      <x:c r="B299" s="10" t="str">
        <x:v>6268</x:v>
      </x:c>
      <x:c r="C299" s="33" t="n">
        <x:v>4140</x:v>
      </x:c>
      <x:c r="D299" s="33" t="n">
        <x:v>4140</x:v>
      </x:c>
      <x:c r="E299" s="33" t="n">
        <x:v>0</x:v>
      </x:c>
      <x:c r="F299" s="37" t="n">
        <x:v>1</x:v>
      </x:c>
      <x:c r="G299" s="10" t="str">
        <x:v>XJPX</x:v>
      </x:c>
      <x:c r="H299" s="10" t="str">
        <x:v>XJPX</x:v>
      </x:c>
      <x:c r="I299" s="32" t="str">
        <x:f>IF(AND(G299=H299,C299&gt;0,ABS(C299-'Prices'!H299)&lt;=MAX(0.01,'Prices'!H299*0.000001)),"Match","Mismatch")</x:f>
        <x:v>Match</x:v>
      </x:c>
      <x:c r="J299" s="16" t="str">
        <x:v>data/bspi15/raw/marketstack/2026-10-27T11-26-35-870Z/constituents-v2.json</x:v>
      </x:c>
      <x:c r="K299" s="16" t="str"/>
      <x:c r="L299" s="39" t="n">
        <x:v>46322.47680405092</x:v>
      </x:c>
      <x:c r="M299" s="16" t="str"/>
    </x:row>
    <x:row r="300" ht="50" customHeight="1">
      <x:c r="A300" s="8" t="n">
        <x:v>46321</x:v>
      </x:c>
      <x:c r="B300" s="2" t="str">
        <x:v>300124</x:v>
      </x:c>
      <x:c r="C300" s="17" t="n">
        <x:v>55.25</x:v>
      </x:c>
      <x:c r="D300" s="17" t="n">
        <x:v>55.25</x:v>
      </x:c>
      <x:c r="E300" s="17" t="n">
        <x:v>0</x:v>
      </x:c>
      <x:c r="F300" s="36" t="n">
        <x:v>1</x:v>
      </x:c>
      <x:c r="G300" s="2" t="str">
        <x:v>XSHE</x:v>
      </x:c>
      <x:c r="H300" s="2" t="str">
        <x:v>XSHE</x:v>
      </x:c>
      <x:c r="I300" s="31" t="str">
        <x:f>IF(AND(G300=H300,C300&gt;0,ABS(C300-'Prices'!H300)&lt;=MAX(0.01,'Prices'!H300*0.000001)),"Match","Mismatch")</x:f>
        <x:v>Match</x:v>
      </x:c>
      <x:c r="J300" s="14" t="str">
        <x:v>data/bspi15/raw/marketstack/2026-10-27T11-26-35-870Z/constituents-v2.json</x:v>
      </x:c>
      <x:c r="K300" s="14" t="str"/>
      <x:c r="L300" s="38" t="n">
        <x:v>46322.47680405092</x:v>
      </x:c>
      <x:c r="M300" s="14" t="str"/>
    </x:row>
    <x:row r="301" ht="50" customHeight="1">
      <x:c r="A301" s="9" t="n">
        <x:v>46321</x:v>
      </x:c>
      <x:c r="B301" s="10" t="str">
        <x:v>6861</x:v>
      </x:c>
      <x:c r="C301" s="33" t="n">
        <x:v>77270</x:v>
      </x:c>
      <x:c r="D301" s="33" t="n">
        <x:v>77270</x:v>
      </x:c>
      <x:c r="E301" s="33" t="n">
        <x:v>0</x:v>
      </x:c>
      <x:c r="F301" s="37" t="n">
        <x:v>1</x:v>
      </x:c>
      <x:c r="G301" s="10" t="str">
        <x:v>XJPX</x:v>
      </x:c>
      <x:c r="H301" s="10" t="str">
        <x:v>XJPX</x:v>
      </x:c>
      <x:c r="I301" s="32" t="str">
        <x:f>IF(AND(G301=H301,C301&gt;0,ABS(C301-'Prices'!H301)&lt;=MAX(0.01,'Prices'!H301*0.000001)),"Match","Mismatch")</x:f>
        <x:v>Match</x:v>
      </x:c>
      <x:c r="J301" s="16" t="str">
        <x:v>data/bspi15/raw/marketstack/2026-10-27T11-26-35-870Z/constituents-v2.json</x:v>
      </x:c>
      <x:c r="K301" s="16" t="str"/>
      <x:c r="L301" s="39" t="n">
        <x:v>46322.47680405092</x:v>
      </x:c>
      <x:c r="M301" s="16" t="str"/>
    </x:row>
    <x:row r="302" ht="50" customHeight="1">
      <x:c r="A302" s="8" t="n">
        <x:v>46321</x:v>
      </x:c>
      <x:c r="B302" s="2" t="str">
        <x:v>CGNX</x:v>
      </x:c>
      <x:c r="C302" s="17" t="n">
        <x:v>55.63</x:v>
      </x:c>
      <x:c r="D302" s="17" t="n">
        <x:v>55.63</x:v>
      </x:c>
      <x:c r="E302" s="17" t="n">
        <x:v>0</x:v>
      </x:c>
      <x:c r="F302" s="36" t="n">
        <x:v>1</x:v>
      </x:c>
      <x:c r="G302" s="2" t="str">
        <x:v>XNAS</x:v>
      </x:c>
      <x:c r="H302" s="2" t="str">
        <x:v>XNAS</x:v>
      </x:c>
      <x:c r="I302" s="31" t="str">
        <x:f>IF(AND(G302=H302,C302&gt;0,ABS(C302-'Prices'!H302)&lt;=MAX(0.01,'Prices'!H302*0.000001)),"Match","Mismatch")</x:f>
        <x:v>Match</x:v>
      </x:c>
      <x:c r="J302" s="14" t="str">
        <x:v>data/bspi15/raw/marketstack/2026-10-27T11-26-35-870Z/constituents-v2.json</x:v>
      </x:c>
      <x:c r="K302" s="14" t="str"/>
      <x:c r="L302" s="38" t="n">
        <x:v>46322.47680405092</x:v>
      </x:c>
      <x:c r="M302" s="14" t="str"/>
    </x:row>
    <x:row r="303" ht="50" customHeight="1">
      <x:c r="A303" s="9" t="n">
        <x:v>46321</x:v>
      </x:c>
      <x:c r="B303" s="10" t="str">
        <x:v>OUST</x:v>
      </x:c>
      <x:c r="C303" s="33" t="n">
        <x:v>29.71</x:v>
      </x:c>
      <x:c r="D303" s="33" t="n">
        <x:v>29.71</x:v>
      </x:c>
      <x:c r="E303" s="33" t="n">
        <x:v>0</x:v>
      </x:c>
      <x:c r="F303" s="37" t="n">
        <x:v>1</x:v>
      </x:c>
      <x:c r="G303" s="10" t="str">
        <x:v>XNAS</x:v>
      </x:c>
      <x:c r="H303" s="10" t="str">
        <x:v>XNYS</x:v>
      </x:c>
      <x:c r="I303" s="32" t="str">
        <x:f>IF(AND(OR(G303=H303,AND(B303="OUST",G303="XNAS",H303="XNYS",LEFT(M303,34)="ouster-marketstack-legacy-nyse-tag")),C303&gt;0,ABS(C303-'Prices'!H303)&lt;=MAX(0.01,'Prices'!H303*0.000001)),"Approved MIC exception","Mismatch")</x:f>
        <x:v>Approved MIC exception</x:v>
      </x:c>
      <x:c r="J303" s="16" t="str">
        <x:v>data/bspi15/raw/marketstack/2026-10-27T11-26-35-870Z/constituents-v2.json</x:v>
      </x:c>
      <x:c r="K303" s="16" t="str"/>
      <x:c r="L303" s="39" t="n">
        <x:v>46322.47680405092</x:v>
      </x:c>
      <x:c r="M303" s="16" t="str">
        <x:v>ouster-marketstack-legacy-nyse-tag; approved 2026-10-14; data/bspi15/provider-mic-exceptions.json</x:v>
      </x:c>
    </x:row>
    <x:row r="304" ht="50" customHeight="1">
      <x:c r="A304" s="8" t="n">
        <x:v>46321</x:v>
      </x:c>
      <x:c r="B304" s="2" t="str">
        <x:v>HSAI</x:v>
      </x:c>
      <x:c r="C304" s="17" t="n">
        <x:v>13.69</x:v>
      </x:c>
      <x:c r="D304" s="17" t="n">
        <x:v>13.69</x:v>
      </x:c>
      <x:c r="E304" s="17" t="n">
        <x:v>0</x:v>
      </x:c>
      <x:c r="F304" s="36" t="n">
        <x:v>1</x:v>
      </x:c>
      <x:c r="G304" s="2" t="str">
        <x:v>XNAS</x:v>
      </x:c>
      <x:c r="H304" s="2" t="str">
        <x:v>XNAS</x:v>
      </x:c>
      <x:c r="I304" s="31" t="str">
        <x:f>IF(AND(G304=H304,C304&gt;0,ABS(C304-'Prices'!H304)&lt;=MAX(0.01,'Prices'!H304*0.000001)),"Match","Mismatch")</x:f>
        <x:v>Match</x:v>
      </x:c>
      <x:c r="J304" s="14" t="str">
        <x:v>data/bspi15/raw/marketstack/2026-10-27T11-26-35-870Z/constituents-v2.json</x:v>
      </x:c>
      <x:c r="K304" s="14" t="str"/>
      <x:c r="L304" s="38" t="n">
        <x:v>46322.47680405092</x:v>
      </x:c>
      <x:c r="M304" s="14" t="str"/>
    </x:row>
    <x:row r="305" ht="50" customHeight="1">
      <x:c r="A305" s="9" t="n">
        <x:v>46321</x:v>
      </x:c>
      <x:c r="B305" s="10" t="str">
        <x:v>ROK</x:v>
      </x:c>
      <x:c r="C305" s="33" t="n">
        <x:v>429.89</x:v>
      </x:c>
      <x:c r="D305" s="33" t="n">
        <x:v>429.89</x:v>
      </x:c>
      <x:c r="E305" s="33" t="n">
        <x:v>0</x:v>
      </x:c>
      <x:c r="F305" s="37" t="n">
        <x:v>1</x:v>
      </x:c>
      <x:c r="G305" s="10" t="str">
        <x:v>XNYS</x:v>
      </x:c>
      <x:c r="H305" s="10" t="str">
        <x:v>XNYS</x:v>
      </x:c>
      <x:c r="I305" s="32" t="str">
        <x:f>IF(AND(G305=H305,C305&gt;0,ABS(C305-'Prices'!H305)&lt;=MAX(0.01,'Prices'!H305*0.000001)),"Match","Mismatch")</x:f>
        <x:v>Match</x:v>
      </x:c>
      <x:c r="J305" s="16" t="str">
        <x:v>data/bspi15/raw/marketstack/2026-10-27T11-26-35-870Z/constituents-v2.json</x:v>
      </x:c>
      <x:c r="K305" s="16" t="str"/>
      <x:c r="L305" s="39" t="n">
        <x:v>46322.47680405092</x:v>
      </x:c>
      <x:c r="M305" s="16" t="str"/>
    </x:row>
    <x:row r="306" ht="50" customHeight="1">
      <x:c r="A306" s="8" t="n">
        <x:v>46321</x:v>
      </x:c>
      <x:c r="B306" s="2" t="str">
        <x:v>SIE</x:v>
      </x:c>
      <x:c r="C306" s="17" t="n">
        <x:v>261.4</x:v>
      </x:c>
      <x:c r="D306" s="17" t="n">
        <x:v>261.4</x:v>
      </x:c>
      <x:c r="E306" s="17" t="n">
        <x:v>0</x:v>
      </x:c>
      <x:c r="F306" s="36" t="n">
        <x:v>1</x:v>
      </x:c>
      <x:c r="G306" s="2" t="str">
        <x:v>XETR</x:v>
      </x:c>
      <x:c r="H306" s="2" t="str">
        <x:v>XETR</x:v>
      </x:c>
      <x:c r="I306" s="31" t="str">
        <x:f>IF(AND(G306=H306,C306&gt;0,ABS(C306-'Prices'!H306)&lt;=MAX(0.01,'Prices'!H306*0.000001)),"Match","Mismatch")</x:f>
        <x:v>Match</x:v>
      </x:c>
      <x:c r="J306" s="14" t="str">
        <x:v>data/bspi15/raw/marketstack/2026-10-27T11-26-35-870Z/constituents-v2.json</x:v>
      </x:c>
      <x:c r="K306" s="14" t="str"/>
      <x:c r="L306" s="38" t="n">
        <x:v>46322.47680405092</x:v>
      </x:c>
      <x:c r="M306" s="14" t="str"/>
    </x:row>
    <x:row r="307" ht="50" customHeight="1">
      <x:c r="A307" s="9" t="n">
        <x:v>46321</x:v>
      </x:c>
      <x:c r="B307" s="10" t="str">
        <x:v>NXPI</x:v>
      </x:c>
      <x:c r="C307" s="33" t="n">
        <x:v>245.83</x:v>
      </x:c>
      <x:c r="D307" s="33" t="n">
        <x:v>245.83</x:v>
      </x:c>
      <x:c r="E307" s="33" t="n">
        <x:v>0</x:v>
      </x:c>
      <x:c r="F307" s="37" t="n">
        <x:v>1</x:v>
      </x:c>
      <x:c r="G307" s="10" t="str">
        <x:v>XNAS</x:v>
      </x:c>
      <x:c r="H307" s="10" t="str">
        <x:v>XNAS</x:v>
      </x:c>
      <x:c r="I307" s="32" t="str">
        <x:f>IF(AND(G307=H307,C307&gt;0,ABS(C307-'Prices'!H307)&lt;=MAX(0.01,'Prices'!H307*0.000001)),"Match","Mismatch")</x:f>
        <x:v>Match</x:v>
      </x:c>
      <x:c r="J307" s="16" t="str">
        <x:v>data/bspi15/raw/marketstack/2026-10-27T11-26-35-870Z/constituents-v2.json</x:v>
      </x:c>
      <x:c r="K307" s="16" t="str"/>
      <x:c r="L307" s="39" t="n">
        <x:v>46322.47680405092</x:v>
      </x:c>
      <x:c r="M307" s="16" t="str"/>
    </x:row>
    <x:row r="308" ht="50" customHeight="1">
      <x:c r="A308" s="8" t="n">
        <x:v>46321</x:v>
      </x:c>
      <x:c r="B308" s="2" t="str">
        <x:v>6383</x:v>
      </x:c>
      <x:c r="C308" s="17" t="n">
        <x:v>5137</x:v>
      </x:c>
      <x:c r="D308" s="17" t="n">
        <x:v>5137</x:v>
      </x:c>
      <x:c r="E308" s="17" t="n">
        <x:v>0</x:v>
      </x:c>
      <x:c r="F308" s="36" t="n">
        <x:v>1</x:v>
      </x:c>
      <x:c r="G308" s="2" t="str">
        <x:v>XJPX</x:v>
      </x:c>
      <x:c r="H308" s="2" t="str">
        <x:v>XJPX</x:v>
      </x:c>
      <x:c r="I308" s="31" t="str">
        <x:f>IF(AND(G308=H308,C308&gt;0,ABS(C308-'Prices'!H308)&lt;=MAX(0.01,'Prices'!H308*0.000001)),"Match","Mismatch")</x:f>
        <x:v>Match</x:v>
      </x:c>
      <x:c r="J308" s="14" t="str">
        <x:v>data/bspi15/raw/marketstack/2026-10-27T11-26-35-870Z/constituents-v2.json</x:v>
      </x:c>
      <x:c r="K308" s="14" t="str"/>
      <x:c r="L308" s="38" t="n">
        <x:v>46322.47680405092</x:v>
      </x:c>
      <x:c r="M308" s="14" t="str"/>
    </x:row>
    <x:row r="309" ht="50" customHeight="1">
      <x:c r="A309" s="9" t="n">
        <x:v>46321</x:v>
      </x:c>
      <x:c r="B309" s="10" t="str">
        <x:v>HEXA B</x:v>
      </x:c>
      <x:c r="C309" s="33" t="n">
        <x:v>109.45</x:v>
      </x:c>
      <x:c r="D309" s="33" t="n">
        <x:v>109.45</x:v>
      </x:c>
      <x:c r="E309" s="33" t="n">
        <x:v>0</x:v>
      </x:c>
      <x:c r="F309" s="37" t="n">
        <x:v>1</x:v>
      </x:c>
      <x:c r="G309" s="10" t="str">
        <x:v>XSTO</x:v>
      </x:c>
      <x:c r="H309" s="10" t="str">
        <x:v>XSTO</x:v>
      </x:c>
      <x:c r="I309" s="32" t="str">
        <x:f>IF(AND(G309=H309,C309&gt;0,ABS(C309-'Prices'!H309)&lt;=MAX(0.01,'Prices'!H309*0.000001)),"Match","Mismatch")</x:f>
        <x:v>Match</x:v>
      </x:c>
      <x:c r="J309" s="16" t="str">
        <x:v>data/bspi15/raw/marketstack/2026-10-27T11-26-35-870Z/constituents-v2.json</x:v>
      </x:c>
      <x:c r="K309" s="16" t="str"/>
      <x:c r="L309" s="39" t="n">
        <x:v>46322.47680405092</x:v>
      </x:c>
      <x:c r="M309" s="16" t="str"/>
    </x:row>
    <x:row r="310" ht="50" customHeight="1">
      <x:c r="A310" s="8" t="n">
        <x:v>46321</x:v>
      </x:c>
      <x:c r="B310" s="2" t="str">
        <x:v>S&amp;P 500</x:v>
      </x:c>
      <x:c r="C310" s="17" t="n">
        <x:v>7676.77</x:v>
      </x:c>
      <x:c r="D310" s="17" t="n">
        <x:v>7676.77</x:v>
      </x:c>
      <x:c r="E310" s="17" t="n">
        <x:v>0</x:v>
      </x:c>
      <x:c r="F310" s="36" t="n">
        <x:v>1</x:v>
      </x:c>
      <x:c r="G310" s="2" t="str">
        <x:v>INDX</x:v>
      </x:c>
      <x:c r="H310" s="2" t="str">
        <x:v>INDX</x:v>
      </x:c>
      <x:c r="I310" s="31" t="str">
        <x:f>IF(AND(G310=H310,C310&gt;0,ABS(C310-'Prices'!H310)&lt;=MAX(0.01,'Prices'!H310*0.000001)),"Match","Mismatch")</x:f>
        <x:v>Match</x:v>
      </x:c>
      <x:c r="J310" s="14" t="str">
        <x:v>data/bspi15/raw/marketstack/2026-10-27T11-26-35-870Z/benchmarks-v1.json</x:v>
      </x:c>
      <x:c r="K310" s="14" t="str"/>
      <x:c r="L310" s="38" t="n">
        <x:v>46322.47680405092</x:v>
      </x:c>
      <x:c r="M310" s="14" t="str"/>
    </x:row>
    <x:row r="311" ht="50" customHeight="1">
      <x:c r="A311" s="9" t="n">
        <x:v>46321</x:v>
      </x:c>
      <x:c r="B311" s="10" t="str">
        <x:v>Nasdaq Composite</x:v>
      </x:c>
      <x:c r="C311" s="33" t="n">
        <x:v>26169.3809</x:v>
      </x:c>
      <x:c r="D311" s="33" t="n">
        <x:v>26169.3809</x:v>
      </x:c>
      <x:c r="E311" s="33" t="n">
        <x:v>0</x:v>
      </x:c>
      <x:c r="F311" s="37" t="n">
        <x:v>1</x:v>
      </x:c>
      <x:c r="G311" s="10" t="str">
        <x:v>INDX</x:v>
      </x:c>
      <x:c r="H311" s="10" t="str">
        <x:v>INDX</x:v>
      </x:c>
      <x:c r="I311" s="32" t="str">
        <x:f>IF(AND(G311=H311,C311&gt;0,ABS(C311-'Prices'!H311)&lt;=MAX(0.01,'Prices'!H311*0.000001)),"Match","Mismatch")</x:f>
        <x:v>Match</x:v>
      </x:c>
      <x:c r="J311" s="16" t="str">
        <x:v>data/bspi15/raw/marketstack/2026-10-27T11-26-35-870Z/benchmarks-v1.json</x:v>
      </x:c>
      <x:c r="K311" s="16" t="str"/>
      <x:c r="L311" s="39" t="n">
        <x:v>46322.47680405092</x:v>
      </x:c>
      <x:c r="M311" s="16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7457bf2abf7a4fd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9" t="n">
        <x:v>46315</x:v>
      </x:c>
      <x:c r="E227" s="18" t="n">
        <x:f>'Source Audit'!E227</x:f>
        <x:v>0</x:v>
      </x:c>
      <x:c r="F227" s="41" t="n">
        <x:f>'Source Audit'!F227</x:f>
        <x:v>1</x:v>
      </x:c>
      <x:c r="G227" s="12" t="str">
        <x:f>IF(AND(E227=0,F227=1,'Source Audit'!I227&lt;&gt;"Mismatch"),"No provider flag","Review required")</x:f>
        <x:v>No provider flag</x:v>
      </x:c>
      <x:c r="H227" s="10" t="str">
        <x:v>No continuity adjustment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8" t="n">
        <x:v>46315</x:v>
      </x:c>
      <x:c r="E228" s="19" t="n">
        <x:f>'Source Audit'!E228</x:f>
        <x:v>0</x:v>
      </x:c>
      <x:c r="F228" s="40" t="n">
        <x:f>'Source Audit'!F228</x:f>
        <x:v>1</x:v>
      </x:c>
      <x:c r="G228" s="11" t="str">
        <x:f>IF(AND(E228=0,F228=1,'Source Audit'!I228&lt;&gt;"Mismatch"),"No provider flag","Review required")</x:f>
        <x:v>No provider flag</x:v>
      </x:c>
      <x:c r="H228" s="2" t="str">
        <x:v>No continuity adjustment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9" t="n">
        <x:v>46315</x:v>
      </x:c>
      <x:c r="E229" s="18" t="n">
        <x:f>'Source Audit'!E229</x:f>
        <x:v>0</x:v>
      </x:c>
      <x:c r="F229" s="41" t="n">
        <x:f>'Source Audit'!F229</x:f>
        <x:v>1</x:v>
      </x:c>
      <x:c r="G229" s="12" t="str">
        <x:f>IF(AND(E229=0,F229=1,'Source Audit'!I229&lt;&gt;"Mismatch"),"No provider flag","Review required")</x:f>
        <x:v>No provider flag</x:v>
      </x:c>
      <x:c r="H229" s="10" t="str">
        <x:v>No continuity adjustment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8" t="n">
        <x:v>46315</x:v>
      </x:c>
      <x:c r="E230" s="19" t="n">
        <x:f>'Source Audit'!E230</x:f>
        <x:v>0</x:v>
      </x:c>
      <x:c r="F230" s="40" t="n">
        <x:f>'Source Audit'!F230</x:f>
        <x:v>1</x:v>
      </x:c>
      <x:c r="G230" s="11" t="str">
        <x:f>IF(AND(E230=0,F230=1,'Source Audit'!I230&lt;&gt;"Mismatch"),"No provider flag","Review required")</x:f>
        <x:v>No provider flag</x:v>
      </x:c>
      <x:c r="H230" s="2" t="str">
        <x:v>No continuity adjustment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9" t="n">
        <x:v>46315</x:v>
      </x:c>
      <x:c r="E231" s="18" t="n">
        <x:f>'Source Audit'!E231</x:f>
        <x:v>0</x:v>
      </x:c>
      <x:c r="F231" s="41" t="n">
        <x:f>'Source Audit'!F231</x:f>
        <x:v>1</x:v>
      </x:c>
      <x:c r="G231" s="12" t="str">
        <x:f>IF(AND(E231=0,F231=1,'Source Audit'!I231&lt;&gt;"Mismatch"),"No provider flag","Review required")</x:f>
        <x:v>No provider flag</x:v>
      </x:c>
      <x:c r="H231" s="10" t="str">
        <x:v>No continuity adjustment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8" t="n">
        <x:v>46315</x:v>
      </x:c>
      <x:c r="E232" s="19" t="n">
        <x:f>'Source Audit'!E232</x:f>
        <x:v>0</x:v>
      </x:c>
      <x:c r="F232" s="40" t="n">
        <x:f>'Source Audit'!F232</x:f>
        <x:v>1</x:v>
      </x:c>
      <x:c r="G232" s="11" t="str">
        <x:f>IF(AND(E232=0,F232=1,'Source Audit'!I232&lt;&gt;"Mismatch"),"No provider flag","Review required")</x:f>
        <x:v>No provider flag</x:v>
      </x:c>
      <x:c r="H232" s="2" t="str">
        <x:v>No continuity adjustment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9" t="n">
        <x:v>46315</x:v>
      </x:c>
      <x:c r="E233" s="18" t="n">
        <x:f>'Source Audit'!E233</x:f>
        <x:v>0</x:v>
      </x:c>
      <x:c r="F233" s="41" t="n">
        <x:f>'Source Audit'!F233</x:f>
        <x:v>1</x:v>
      </x:c>
      <x:c r="G233" s="12" t="str">
        <x:f>IF(AND(E233=0,F233=1,'Source Audit'!I233&lt;&gt;"Mismatch"),"No provider flag","Review required")</x:f>
        <x:v>No provider flag</x:v>
      </x:c>
      <x:c r="H233" s="10" t="str">
        <x:v>No continuity adjustment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8" t="n">
        <x:v>46315</x:v>
      </x:c>
      <x:c r="E234" s="19" t="n">
        <x:f>'Source Audit'!E234</x:f>
        <x:v>0</x:v>
      </x:c>
      <x:c r="F234" s="40" t="n">
        <x:f>'Source Audit'!F234</x:f>
        <x:v>1</x:v>
      </x:c>
      <x:c r="G234" s="11" t="str">
        <x:f>IF(AND(E234=0,F234=1,'Source Audit'!I234&lt;&gt;"Mismatch"),"No provider flag","Review required")</x:f>
        <x:v>No provider flag</x:v>
      </x:c>
      <x:c r="H234" s="2" t="str">
        <x:v>No continuity adjustment</x:v>
      </x:c>
    </x:row>
    <x:row r="235" ht="44" customHeight="1">
      <x:c r="A235" s="9" t="n">
        <x:v>46315</x:v>
      </x:c>
      <x:c r="B235" s="10" t="str">
        <x:v>Ouster</x:v>
      </x:c>
      <x:c r="C235" s="10" t="str">
        <x:v>OUST</x:v>
      </x:c>
      <x:c r="D235" s="9" t="n">
        <x:v>46315</x:v>
      </x:c>
      <x:c r="E235" s="18" t="n">
        <x:f>'Source Audit'!E235</x:f>
        <x:v>0</x:v>
      </x:c>
      <x:c r="F235" s="41" t="n">
        <x:f>'Source Audit'!F235</x:f>
        <x:v>1</x:v>
      </x:c>
      <x:c r="G235" s="12" t="str">
        <x:f>IF(AND(E235=0,F235=1,'Source Audit'!I235&lt;&gt;"Mismatch"),"No provider flag","Review required")</x:f>
        <x:v>No provider flag</x:v>
      </x:c>
      <x:c r="H235" s="16" t="str">
        <x:v>Approved provider MIC exception; no price adjustment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8" t="n">
        <x:v>46315</x:v>
      </x:c>
      <x:c r="E236" s="19" t="n">
        <x:f>'Source Audit'!E236</x:f>
        <x:v>0</x:v>
      </x:c>
      <x:c r="F236" s="40" t="n">
        <x:f>'Source Audit'!F236</x:f>
        <x:v>1</x:v>
      </x:c>
      <x:c r="G236" s="11" t="str">
        <x:f>IF(AND(E236=0,F236=1,'Source Audit'!I236&lt;&gt;"Mismatch"),"No provider flag","Review required")</x:f>
        <x:v>No provider flag</x:v>
      </x:c>
      <x:c r="H236" s="2" t="str">
        <x:v>No continuity adjustment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9" t="n">
        <x:v>46315</x:v>
      </x:c>
      <x:c r="E237" s="18" t="n">
        <x:f>'Source Audit'!E237</x:f>
        <x:v>0</x:v>
      </x:c>
      <x:c r="F237" s="41" t="n">
        <x:f>'Source Audit'!F237</x:f>
        <x:v>1</x:v>
      </x:c>
      <x:c r="G237" s="12" t="str">
        <x:f>IF(AND(E237=0,F237=1,'Source Audit'!I237&lt;&gt;"Mismatch"),"No provider flag","Review required")</x:f>
        <x:v>No provider flag</x:v>
      </x:c>
      <x:c r="H237" s="10" t="str">
        <x:v>No continuity adjustment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8" t="n">
        <x:v>46315</x:v>
      </x:c>
      <x:c r="E238" s="19" t="n">
        <x:f>'Source Audit'!E238</x:f>
        <x:v>0</x:v>
      </x:c>
      <x:c r="F238" s="40" t="n">
        <x:f>'Source Audit'!F238</x:f>
        <x:v>1</x:v>
      </x:c>
      <x:c r="G238" s="11" t="str">
        <x:f>IF(AND(E238=0,F238=1,'Source Audit'!I238&lt;&gt;"Mismatch"),"No provider flag","Review required")</x:f>
        <x:v>No provider flag</x:v>
      </x:c>
      <x:c r="H238" s="2" t="str">
        <x:v>No continuity adjustment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9" t="n">
        <x:v>46315</x:v>
      </x:c>
      <x:c r="E239" s="18" t="n">
        <x:f>'Source Audit'!E239</x:f>
        <x:v>0</x:v>
      </x:c>
      <x:c r="F239" s="41" t="n">
        <x:f>'Source Audit'!F239</x:f>
        <x:v>1</x:v>
      </x:c>
      <x:c r="G239" s="12" t="str">
        <x:f>IF(AND(E239=0,F239=1,'Source Audit'!I239&lt;&gt;"Mismatch"),"No provider flag","Review required")</x:f>
        <x:v>No provider flag</x:v>
      </x:c>
      <x:c r="H239" s="10" t="str">
        <x:v>No continuity adjustment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8" t="n">
        <x:v>46315</x:v>
      </x:c>
      <x:c r="E240" s="19" t="n">
        <x:f>'Source Audit'!E240</x:f>
        <x:v>0</x:v>
      </x:c>
      <x:c r="F240" s="40" t="n">
        <x:f>'Source Audit'!F240</x:f>
        <x:v>1</x:v>
      </x:c>
      <x:c r="G240" s="11" t="str">
        <x:f>IF(AND(E240=0,F240=1,'Source Audit'!I240&lt;&gt;"Mismatch"),"No provider flag","Review required")</x:f>
        <x:v>No provider flag</x:v>
      </x:c>
      <x:c r="H240" s="2" t="str">
        <x:v>No continuity adjustment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9" t="n">
        <x:v>46315</x:v>
      </x:c>
      <x:c r="E241" s="18" t="n">
        <x:f>'Source Audit'!E241</x:f>
        <x:v>0</x:v>
      </x:c>
      <x:c r="F241" s="41" t="n">
        <x:f>'Source Audit'!F241</x:f>
        <x:v>1</x:v>
      </x:c>
      <x:c r="G241" s="12" t="str">
        <x:f>IF(AND(E241=0,F241=1,'Source Audit'!I241&lt;&gt;"Mismatch"),"No provider flag","Review required")</x:f>
        <x:v>No provider flag</x:v>
      </x:c>
      <x:c r="H241" s="10" t="str">
        <x:v>No continuity adjustment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8" t="n">
        <x:v>46315</x:v>
      </x:c>
      <x:c r="E242" s="19" t="n">
        <x:f>'Source Audit'!E242</x:f>
        <x:v>0</x:v>
      </x:c>
      <x:c r="F242" s="40" t="n">
        <x:f>'Source Audit'!F242</x:f>
        <x:v>1</x:v>
      </x:c>
      <x:c r="G242" s="11" t="str">
        <x:f>IF(AND(E242=0,F242=1,'Source Audit'!I242&lt;&gt;"Mismatch"),"No provider flag","Review required")</x:f>
        <x:v>No provider flag</x:v>
      </x:c>
      <x:c r="H242" s="2" t="str">
        <x:v>No continuity adjustment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9" t="n">
        <x:v>46315</x:v>
      </x:c>
      <x:c r="E243" s="18" t="n">
        <x:f>'Source Audit'!E243</x:f>
        <x:v>0</x:v>
      </x:c>
      <x:c r="F243" s="41" t="n">
        <x:f>'Source Audit'!F243</x:f>
        <x:v>1</x:v>
      </x:c>
      <x:c r="G243" s="12" t="str">
        <x:f>IF(AND(E243=0,F243=1,'Source Audit'!I243&lt;&gt;"Mismatch"),"No provider flag","Review required")</x:f>
        <x:v>No provider flag</x:v>
      </x:c>
      <x:c r="H243" s="10" t="str">
        <x:v>No continuity adjustment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8" t="n">
        <x:v>46316</x:v>
      </x:c>
      <x:c r="E244" s="19" t="n">
        <x:f>'Source Audit'!E244</x:f>
        <x:v>0</x:v>
      </x:c>
      <x:c r="F244" s="40" t="n">
        <x:f>'Source Audit'!F244</x:f>
        <x:v>1</x:v>
      </x:c>
      <x:c r="G244" s="11" t="str">
        <x:f>IF(AND(E244=0,F244=1,'Source Audit'!I244&lt;&gt;"Mismatch"),"No provider flag","Review required")</x:f>
        <x:v>No provider flag</x:v>
      </x:c>
      <x:c r="H244" s="2" t="str">
        <x:v>No continuity adjustment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9" t="n">
        <x:v>46316</x:v>
      </x:c>
      <x:c r="E245" s="18" t="n">
        <x:f>'Source Audit'!E245</x:f>
        <x:v>0</x:v>
      </x:c>
      <x:c r="F245" s="41" t="n">
        <x:f>'Source Audit'!F245</x:f>
        <x:v>1</x:v>
      </x:c>
      <x:c r="G245" s="12" t="str">
        <x:f>IF(AND(E245=0,F245=1,'Source Audit'!I245&lt;&gt;"Mismatch"),"No provider flag","Review required")</x:f>
        <x:v>No provider flag</x:v>
      </x:c>
      <x:c r="H245" s="10" t="str">
        <x:v>No continuity adjustment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8" t="n">
        <x:v>46316</x:v>
      </x:c>
      <x:c r="E246" s="19" t="n">
        <x:f>'Source Audit'!E246</x:f>
        <x:v>0</x:v>
      </x:c>
      <x:c r="F246" s="40" t="n">
        <x:f>'Source Audit'!F246</x:f>
        <x:v>1</x:v>
      </x:c>
      <x:c r="G246" s="11" t="str">
        <x:f>IF(AND(E246=0,F246=1,'Source Audit'!I246&lt;&gt;"Mismatch"),"No provider flag","Review required")</x:f>
        <x:v>No provider flag</x:v>
      </x:c>
      <x:c r="H246" s="2" t="str">
        <x:v>No continuity adjustment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9" t="n">
        <x:v>46316</x:v>
      </x:c>
      <x:c r="E247" s="18" t="n">
        <x:f>'Source Audit'!E247</x:f>
        <x:v>0</x:v>
      </x:c>
      <x:c r="F247" s="41" t="n">
        <x:f>'Source Audit'!F247</x:f>
        <x:v>1</x:v>
      </x:c>
      <x:c r="G247" s="12" t="str">
        <x:f>IF(AND(E247=0,F247=1,'Source Audit'!I247&lt;&gt;"Mismatch"),"No provider flag","Review required")</x:f>
        <x:v>No provider flag</x:v>
      </x:c>
      <x:c r="H247" s="10" t="str">
        <x:v>No continuity adjustment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8" t="n">
        <x:v>46316</x:v>
      </x:c>
      <x:c r="E248" s="19" t="n">
        <x:f>'Source Audit'!E248</x:f>
        <x:v>0</x:v>
      </x:c>
      <x:c r="F248" s="40" t="n">
        <x:f>'Source Audit'!F248</x:f>
        <x:v>1</x:v>
      </x:c>
      <x:c r="G248" s="11" t="str">
        <x:f>IF(AND(E248=0,F248=1,'Source Audit'!I248&lt;&gt;"Mismatch"),"No provider flag","Review required")</x:f>
        <x:v>No provider flag</x:v>
      </x:c>
      <x:c r="H248" s="2" t="str">
        <x:v>No continuity adjustment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9" t="n">
        <x:v>46316</x:v>
      </x:c>
      <x:c r="E249" s="18" t="n">
        <x:f>'Source Audit'!E249</x:f>
        <x:v>0</x:v>
      </x:c>
      <x:c r="F249" s="41" t="n">
        <x:f>'Source Audit'!F249</x:f>
        <x:v>1</x:v>
      </x:c>
      <x:c r="G249" s="12" t="str">
        <x:f>IF(AND(E249=0,F249=1,'Source Audit'!I249&lt;&gt;"Mismatch"),"No provider flag","Review required")</x:f>
        <x:v>No provider flag</x:v>
      </x:c>
      <x:c r="H249" s="10" t="str">
        <x:v>No continuity adjustment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8" t="n">
        <x:v>46316</x:v>
      </x:c>
      <x:c r="E250" s="19" t="n">
        <x:f>'Source Audit'!E250</x:f>
        <x:v>0</x:v>
      </x:c>
      <x:c r="F250" s="40" t="n">
        <x:f>'Source Audit'!F250</x:f>
        <x:v>1</x:v>
      </x:c>
      <x:c r="G250" s="11" t="str">
        <x:f>IF(AND(E250=0,F250=1,'Source Audit'!I250&lt;&gt;"Mismatch"),"No provider flag","Review required")</x:f>
        <x:v>No provider flag</x:v>
      </x:c>
      <x:c r="H250" s="2" t="str">
        <x:v>No continuity adjustment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9" t="n">
        <x:v>46316</x:v>
      </x:c>
      <x:c r="E251" s="18" t="n">
        <x:f>'Source Audit'!E251</x:f>
        <x:v>0</x:v>
      </x:c>
      <x:c r="F251" s="41" t="n">
        <x:f>'Source Audit'!F251</x:f>
        <x:v>1</x:v>
      </x:c>
      <x:c r="G251" s="12" t="str">
        <x:f>IF(AND(E251=0,F251=1,'Source Audit'!I251&lt;&gt;"Mismatch"),"No provider flag","Review required")</x:f>
        <x:v>No provider flag</x:v>
      </x:c>
      <x:c r="H251" s="10" t="str">
        <x:v>No continuity adjustment</x:v>
      </x:c>
    </x:row>
    <x:row r="252" ht="44" customHeight="1">
      <x:c r="A252" s="8" t="n">
        <x:v>46316</x:v>
      </x:c>
      <x:c r="B252" s="2" t="str">
        <x:v>Ouster</x:v>
      </x:c>
      <x:c r="C252" s="2" t="str">
        <x:v>OUST</x:v>
      </x:c>
      <x:c r="D252" s="8" t="n">
        <x:v>46316</x:v>
      </x:c>
      <x:c r="E252" s="19" t="n">
        <x:f>'Source Audit'!E252</x:f>
        <x:v>0</x:v>
      </x:c>
      <x:c r="F252" s="40" t="n">
        <x:f>'Source Audit'!F252</x:f>
        <x:v>1</x:v>
      </x:c>
      <x:c r="G252" s="11" t="str">
        <x:f>IF(AND(E252=0,F252=1,'Source Audit'!I252&lt;&gt;"Mismatch"),"No provider flag","Review required")</x:f>
        <x:v>No provider flag</x:v>
      </x:c>
      <x:c r="H252" s="14" t="str">
        <x:v>Approved provider MIC exception; no price adjustment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9" t="n">
        <x:v>46316</x:v>
      </x:c>
      <x:c r="E253" s="18" t="n">
        <x:f>'Source Audit'!E253</x:f>
        <x:v>0</x:v>
      </x:c>
      <x:c r="F253" s="41" t="n">
        <x:f>'Source Audit'!F253</x:f>
        <x:v>1</x:v>
      </x:c>
      <x:c r="G253" s="12" t="str">
        <x:f>IF(AND(E253=0,F253=1,'Source Audit'!I253&lt;&gt;"Mismatch"),"No provider flag","Review required")</x:f>
        <x:v>No provider flag</x:v>
      </x:c>
      <x:c r="H253" s="10" t="str">
        <x:v>No continuity adjustment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8" t="n">
        <x:v>46316</x:v>
      </x:c>
      <x:c r="E254" s="19" t="n">
        <x:f>'Source Audit'!E254</x:f>
        <x:v>0</x:v>
      </x:c>
      <x:c r="F254" s="40" t="n">
        <x:f>'Source Audit'!F254</x:f>
        <x:v>1</x:v>
      </x:c>
      <x:c r="G254" s="11" t="str">
        <x:f>IF(AND(E254=0,F254=1,'Source Audit'!I254&lt;&gt;"Mismatch"),"No provider flag","Review required")</x:f>
        <x:v>No provider flag</x:v>
      </x:c>
      <x:c r="H254" s="2" t="str">
        <x:v>No continuity adjustment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9" t="n">
        <x:v>46316</x:v>
      </x:c>
      <x:c r="E255" s="18" t="n">
        <x:f>'Source Audit'!E255</x:f>
        <x:v>0</x:v>
      </x:c>
      <x:c r="F255" s="41" t="n">
        <x:f>'Source Audit'!F255</x:f>
        <x:v>1</x:v>
      </x:c>
      <x:c r="G255" s="12" t="str">
        <x:f>IF(AND(E255=0,F255=1,'Source Audit'!I255&lt;&gt;"Mismatch"),"No provider flag","Review required")</x:f>
        <x:v>No provider flag</x:v>
      </x:c>
      <x:c r="H255" s="10" t="str">
        <x:v>No continuity adjustment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8" t="n">
        <x:v>46316</x:v>
      </x:c>
      <x:c r="E256" s="19" t="n">
        <x:f>'Source Audit'!E256</x:f>
        <x:v>0</x:v>
      </x:c>
      <x:c r="F256" s="40" t="n">
        <x:f>'Source Audit'!F256</x:f>
        <x:v>1</x:v>
      </x:c>
      <x:c r="G256" s="11" t="str">
        <x:f>IF(AND(E256=0,F256=1,'Source Audit'!I256&lt;&gt;"Mismatch"),"No provider flag","Review required")</x:f>
        <x:v>No provider flag</x:v>
      </x:c>
      <x:c r="H256" s="2" t="str">
        <x:v>No continuity adjustment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9" t="n">
        <x:v>46316</x:v>
      </x:c>
      <x:c r="E257" s="18" t="n">
        <x:f>'Source Audit'!E257</x:f>
        <x:v>0</x:v>
      </x:c>
      <x:c r="F257" s="41" t="n">
        <x:f>'Source Audit'!F257</x:f>
        <x:v>1</x:v>
      </x:c>
      <x:c r="G257" s="12" t="str">
        <x:f>IF(AND(E257=0,F257=1,'Source Audit'!I257&lt;&gt;"Mismatch"),"No provider flag","Review required")</x:f>
        <x:v>No provider flag</x:v>
      </x:c>
      <x:c r="H257" s="10" t="str">
        <x:v>No continuity adjustment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8" t="n">
        <x:v>46316</x:v>
      </x:c>
      <x:c r="E258" s="19" t="n">
        <x:f>'Source Audit'!E258</x:f>
        <x:v>0</x:v>
      </x:c>
      <x:c r="F258" s="40" t="n">
        <x:f>'Source Audit'!F258</x:f>
        <x:v>1</x:v>
      </x:c>
      <x:c r="G258" s="11" t="str">
        <x:f>IF(AND(E258=0,F258=1,'Source Audit'!I258&lt;&gt;"Mismatch"),"No provider flag","Review required")</x:f>
        <x:v>No provider flag</x:v>
      </x:c>
      <x:c r="H258" s="2" t="str">
        <x:v>No continuity adjustment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9" t="n">
        <x:v>46316</x:v>
      </x:c>
      <x:c r="E259" s="18" t="n">
        <x:f>'Source Audit'!E259</x:f>
        <x:v>0</x:v>
      </x:c>
      <x:c r="F259" s="41" t="n">
        <x:f>'Source Audit'!F259</x:f>
        <x:v>1</x:v>
      </x:c>
      <x:c r="G259" s="12" t="str">
        <x:f>IF(AND(E259=0,F259=1,'Source Audit'!I259&lt;&gt;"Mismatch"),"No provider flag","Review required")</x:f>
        <x:v>No provider flag</x:v>
      </x:c>
      <x:c r="H259" s="10" t="str">
        <x:v>No continuity adjustment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8" t="n">
        <x:v>46316</x:v>
      </x:c>
      <x:c r="E260" s="19" t="n">
        <x:f>'Source Audit'!E260</x:f>
        <x:v>0</x:v>
      </x:c>
      <x:c r="F260" s="40" t="n">
        <x:f>'Source Audit'!F260</x:f>
        <x:v>1</x:v>
      </x:c>
      <x:c r="G260" s="11" t="str">
        <x:f>IF(AND(E260=0,F260=1,'Source Audit'!I260&lt;&gt;"Mismatch"),"No provider flag","Review required")</x:f>
        <x:v>No provider flag</x:v>
      </x:c>
      <x:c r="H260" s="2" t="str">
        <x:v>No continuity adjustment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9" t="n">
        <x:v>46317</x:v>
      </x:c>
      <x:c r="E261" s="18" t="n">
        <x:f>'Source Audit'!E261</x:f>
        <x:v>0</x:v>
      </x:c>
      <x:c r="F261" s="41" t="n">
        <x:f>'Source Audit'!F261</x:f>
        <x:v>1</x:v>
      </x:c>
      <x:c r="G261" s="12" t="str">
        <x:f>IF(AND(E261=0,F261=1,'Source Audit'!I261&lt;&gt;"Mismatch"),"No provider flag","Review required")</x:f>
        <x:v>No provider flag</x:v>
      </x:c>
      <x:c r="H261" s="10" t="str">
        <x:v>No continuity adjustment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8" t="n">
        <x:v>46317</x:v>
      </x:c>
      <x:c r="E262" s="19" t="n">
        <x:f>'Source Audit'!E262</x:f>
        <x:v>0</x:v>
      </x:c>
      <x:c r="F262" s="40" t="n">
        <x:f>'Source Audit'!F262</x:f>
        <x:v>1</x:v>
      </x:c>
      <x:c r="G262" s="11" t="str">
        <x:f>IF(AND(E262=0,F262=1,'Source Audit'!I262&lt;&gt;"Mismatch"),"No provider flag","Review required")</x:f>
        <x:v>No provider flag</x:v>
      </x:c>
      <x:c r="H262" s="2" t="str">
        <x:v>No continuity adjustment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9" t="n">
        <x:v>46317</x:v>
      </x:c>
      <x:c r="E263" s="18" t="n">
        <x:f>'Source Audit'!E263</x:f>
        <x:v>0</x:v>
      </x:c>
      <x:c r="F263" s="41" t="n">
        <x:f>'Source Audit'!F263</x:f>
        <x:v>1</x:v>
      </x:c>
      <x:c r="G263" s="12" t="str">
        <x:f>IF(AND(E263=0,F263=1,'Source Audit'!I263&lt;&gt;"Mismatch"),"No provider flag","Review required")</x:f>
        <x:v>No provider flag</x:v>
      </x:c>
      <x:c r="H263" s="10" t="str">
        <x:v>No continuity adjustment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8" t="n">
        <x:v>46317</x:v>
      </x:c>
      <x:c r="E264" s="19" t="n">
        <x:f>'Source Audit'!E264</x:f>
        <x:v>0</x:v>
      </x:c>
      <x:c r="F264" s="40" t="n">
        <x:f>'Source Audit'!F264</x:f>
        <x:v>1</x:v>
      </x:c>
      <x:c r="G264" s="11" t="str">
        <x:f>IF(AND(E264=0,F264=1,'Source Audit'!I264&lt;&gt;"Mismatch"),"No provider flag","Review required")</x:f>
        <x:v>No provider flag</x:v>
      </x:c>
      <x:c r="H264" s="2" t="str">
        <x:v>No continuity adjustment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9" t="n">
        <x:v>46317</x:v>
      </x:c>
      <x:c r="E265" s="18" t="n">
        <x:f>'Source Audit'!E265</x:f>
        <x:v>0</x:v>
      </x:c>
      <x:c r="F265" s="41" t="n">
        <x:f>'Source Audit'!F265</x:f>
        <x:v>1</x:v>
      </x:c>
      <x:c r="G265" s="12" t="str">
        <x:f>IF(AND(E265=0,F265=1,'Source Audit'!I265&lt;&gt;"Mismatch"),"No provider flag","Review required")</x:f>
        <x:v>No provider flag</x:v>
      </x:c>
      <x:c r="H265" s="10" t="str">
        <x:v>No continuity adjustment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8" t="n">
        <x:v>46317</x:v>
      </x:c>
      <x:c r="E266" s="19" t="n">
        <x:f>'Source Audit'!E266</x:f>
        <x:v>0</x:v>
      </x:c>
      <x:c r="F266" s="40" t="n">
        <x:f>'Source Audit'!F266</x:f>
        <x:v>1</x:v>
      </x:c>
      <x:c r="G266" s="11" t="str">
        <x:f>IF(AND(E266=0,F266=1,'Source Audit'!I266&lt;&gt;"Mismatch"),"No provider flag","Review required")</x:f>
        <x:v>No provider flag</x:v>
      </x:c>
      <x:c r="H266" s="2" t="str">
        <x:v>No continuity adjustment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9" t="n">
        <x:v>46317</x:v>
      </x:c>
      <x:c r="E267" s="18" t="n">
        <x:f>'Source Audit'!E267</x:f>
        <x:v>0</x:v>
      </x:c>
      <x:c r="F267" s="41" t="n">
        <x:f>'Source Audit'!F267</x:f>
        <x:v>1</x:v>
      </x:c>
      <x:c r="G267" s="12" t="str">
        <x:f>IF(AND(E267=0,F267=1,'Source Audit'!I267&lt;&gt;"Mismatch"),"No provider flag","Review required")</x:f>
        <x:v>No provider flag</x:v>
      </x:c>
      <x:c r="H267" s="10" t="str">
        <x:v>No continuity adjustment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8" t="n">
        <x:v>46317</x:v>
      </x:c>
      <x:c r="E268" s="19" t="n">
        <x:f>'Source Audit'!E268</x:f>
        <x:v>0</x:v>
      </x:c>
      <x:c r="F268" s="40" t="n">
        <x:f>'Source Audit'!F268</x:f>
        <x:v>1</x:v>
      </x:c>
      <x:c r="G268" s="11" t="str">
        <x:f>IF(AND(E268=0,F268=1,'Source Audit'!I268&lt;&gt;"Mismatch"),"No provider flag","Review required")</x:f>
        <x:v>No provider flag</x:v>
      </x:c>
      <x:c r="H268" s="2" t="str">
        <x:v>No continuity adjustment</x:v>
      </x:c>
    </x:row>
    <x:row r="269" ht="44" customHeight="1">
      <x:c r="A269" s="9" t="n">
        <x:v>46317</x:v>
      </x:c>
      <x:c r="B269" s="10" t="str">
        <x:v>Ouster</x:v>
      </x:c>
      <x:c r="C269" s="10" t="str">
        <x:v>OUST</x:v>
      </x:c>
      <x:c r="D269" s="9" t="n">
        <x:v>46317</x:v>
      </x:c>
      <x:c r="E269" s="18" t="n">
        <x:f>'Source Audit'!E269</x:f>
        <x:v>0</x:v>
      </x:c>
      <x:c r="F269" s="41" t="n">
        <x:f>'Source Audit'!F269</x:f>
        <x:v>1</x:v>
      </x:c>
      <x:c r="G269" s="12" t="str">
        <x:f>IF(AND(E269=0,F269=1,'Source Audit'!I269&lt;&gt;"Mismatch"),"No provider flag","Review required")</x:f>
        <x:v>No provider flag</x:v>
      </x:c>
      <x:c r="H269" s="16" t="str">
        <x:v>Approved provider MIC exception; no price adjustment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8" t="n">
        <x:v>46317</x:v>
      </x:c>
      <x:c r="E270" s="19" t="n">
        <x:f>'Source Audit'!E270</x:f>
        <x:v>0</x:v>
      </x:c>
      <x:c r="F270" s="40" t="n">
        <x:f>'Source Audit'!F270</x:f>
        <x:v>1</x:v>
      </x:c>
      <x:c r="G270" s="11" t="str">
        <x:f>IF(AND(E270=0,F270=1,'Source Audit'!I270&lt;&gt;"Mismatch"),"No provider flag","Review required")</x:f>
        <x:v>No provider flag</x:v>
      </x:c>
      <x:c r="H270" s="2" t="str">
        <x:v>No continuity adjustment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9" t="n">
        <x:v>46317</x:v>
      </x:c>
      <x:c r="E271" s="18" t="n">
        <x:f>'Source Audit'!E271</x:f>
        <x:v>0</x:v>
      </x:c>
      <x:c r="F271" s="41" t="n">
        <x:f>'Source Audit'!F271</x:f>
        <x:v>1</x:v>
      </x:c>
      <x:c r="G271" s="12" t="str">
        <x:f>IF(AND(E271=0,F271=1,'Source Audit'!I271&lt;&gt;"Mismatch"),"No provider flag","Review required")</x:f>
        <x:v>No provider flag</x:v>
      </x:c>
      <x:c r="H271" s="10" t="str">
        <x:v>No continuity adjustment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8" t="n">
        <x:v>46317</x:v>
      </x:c>
      <x:c r="E272" s="19" t="n">
        <x:f>'Source Audit'!E272</x:f>
        <x:v>0</x:v>
      </x:c>
      <x:c r="F272" s="40" t="n">
        <x:f>'Source Audit'!F272</x:f>
        <x:v>1</x:v>
      </x:c>
      <x:c r="G272" s="11" t="str">
        <x:f>IF(AND(E272=0,F272=1,'Source Audit'!I272&lt;&gt;"Mismatch"),"No provider flag","Review required")</x:f>
        <x:v>No provider flag</x:v>
      </x:c>
      <x:c r="H272" s="2" t="str">
        <x:v>No continuity adjustment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9" t="n">
        <x:v>46317</x:v>
      </x:c>
      <x:c r="E273" s="18" t="n">
        <x:f>'Source Audit'!E273</x:f>
        <x:v>0</x:v>
      </x:c>
      <x:c r="F273" s="41" t="n">
        <x:f>'Source Audit'!F273</x:f>
        <x:v>1</x:v>
      </x:c>
      <x:c r="G273" s="12" t="str">
        <x:f>IF(AND(E273=0,F273=1,'Source Audit'!I273&lt;&gt;"Mismatch"),"No provider flag","Review required")</x:f>
        <x:v>No provider flag</x:v>
      </x:c>
      <x:c r="H273" s="10" t="str">
        <x:v>No continuity adjustment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8" t="n">
        <x:v>46317</x:v>
      </x:c>
      <x:c r="E274" s="19" t="n">
        <x:f>'Source Audit'!E274</x:f>
        <x:v>0</x:v>
      </x:c>
      <x:c r="F274" s="40" t="n">
        <x:f>'Source Audit'!F274</x:f>
        <x:v>1</x:v>
      </x:c>
      <x:c r="G274" s="11" t="str">
        <x:f>IF(AND(E274=0,F274=1,'Source Audit'!I274&lt;&gt;"Mismatch"),"No provider flag","Review required")</x:f>
        <x:v>No provider flag</x:v>
      </x:c>
      <x:c r="H274" s="2" t="str">
        <x:v>No continuity adjustment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9" t="n">
        <x:v>46317</x:v>
      </x:c>
      <x:c r="E275" s="18" t="n">
        <x:f>'Source Audit'!E275</x:f>
        <x:v>0</x:v>
      </x:c>
      <x:c r="F275" s="41" t="n">
        <x:f>'Source Audit'!F275</x:f>
        <x:v>1</x:v>
      </x:c>
      <x:c r="G275" s="12" t="str">
        <x:f>IF(AND(E275=0,F275=1,'Source Audit'!I275&lt;&gt;"Mismatch"),"No provider flag","Review required")</x:f>
        <x:v>No provider flag</x:v>
      </x:c>
      <x:c r="H275" s="10" t="str">
        <x:v>No continuity adjustment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8" t="n">
        <x:v>46317</x:v>
      </x:c>
      <x:c r="E276" s="19" t="n">
        <x:f>'Source Audit'!E276</x:f>
        <x:v>0</x:v>
      </x:c>
      <x:c r="F276" s="40" t="n">
        <x:f>'Source Audit'!F276</x:f>
        <x:v>1</x:v>
      </x:c>
      <x:c r="G276" s="11" t="str">
        <x:f>IF(AND(E276=0,F276=1,'Source Audit'!I276&lt;&gt;"Mismatch"),"No provider flag","Review required")</x:f>
        <x:v>No provider flag</x:v>
      </x:c>
      <x:c r="H276" s="2" t="str">
        <x:v>No continuity adjustment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9" t="n">
        <x:v>46317</x:v>
      </x:c>
      <x:c r="E277" s="18" t="n">
        <x:f>'Source Audit'!E277</x:f>
        <x:v>0</x:v>
      </x:c>
      <x:c r="F277" s="41" t="n">
        <x:f>'Source Audit'!F277</x:f>
        <x:v>1</x:v>
      </x:c>
      <x:c r="G277" s="12" t="str">
        <x:f>IF(AND(E277=0,F277=1,'Source Audit'!I277&lt;&gt;"Mismatch"),"No provider flag","Review required")</x:f>
        <x:v>No provider flag</x:v>
      </x:c>
      <x:c r="H277" s="10" t="str">
        <x:v>No continuity adjustment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8" t="n">
        <x:v>46318</x:v>
      </x:c>
      <x:c r="E278" s="19" t="n">
        <x:f>'Source Audit'!E278</x:f>
        <x:v>0</x:v>
      </x:c>
      <x:c r="F278" s="40" t="n">
        <x:f>'Source Audit'!F278</x:f>
        <x:v>1</x:v>
      </x:c>
      <x:c r="G278" s="11" t="str">
        <x:f>IF(AND(E278=0,F278=1,'Source Audit'!I278&lt;&gt;"Mismatch"),"No provider flag","Review required")</x:f>
        <x:v>No provider flag</x:v>
      </x:c>
      <x:c r="H278" s="2" t="str">
        <x:v>No continuity adjustment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9" t="n">
        <x:v>46318</x:v>
      </x:c>
      <x:c r="E279" s="18" t="n">
        <x:f>'Source Audit'!E279</x:f>
        <x:v>0</x:v>
      </x:c>
      <x:c r="F279" s="41" t="n">
        <x:f>'Source Audit'!F279</x:f>
        <x:v>1</x:v>
      </x:c>
      <x:c r="G279" s="12" t="str">
        <x:f>IF(AND(E279=0,F279=1,'Source Audit'!I279&lt;&gt;"Mismatch"),"No provider flag","Review required")</x:f>
        <x:v>No provider flag</x:v>
      </x:c>
      <x:c r="H279" s="10" t="str">
        <x:v>No continuity adjustment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8" t="n">
        <x:v>46318</x:v>
      </x:c>
      <x:c r="E280" s="19" t="n">
        <x:f>'Source Audit'!E280</x:f>
        <x:v>0</x:v>
      </x:c>
      <x:c r="F280" s="40" t="n">
        <x:f>'Source Audit'!F280</x:f>
        <x:v>1</x:v>
      </x:c>
      <x:c r="G280" s="11" t="str">
        <x:f>IF(AND(E280=0,F280=1,'Source Audit'!I280&lt;&gt;"Mismatch"),"No provider flag","Review required")</x:f>
        <x:v>No provider flag</x:v>
      </x:c>
      <x:c r="H280" s="2" t="str">
        <x:v>No continuity adjustment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9" t="n">
        <x:v>46318</x:v>
      </x:c>
      <x:c r="E281" s="18" t="n">
        <x:f>'Source Audit'!E281</x:f>
        <x:v>0</x:v>
      </x:c>
      <x:c r="F281" s="41" t="n">
        <x:f>'Source Audit'!F281</x:f>
        <x:v>1</x:v>
      </x:c>
      <x:c r="G281" s="12" t="str">
        <x:f>IF(AND(E281=0,F281=1,'Source Audit'!I281&lt;&gt;"Mismatch"),"No provider flag","Review required")</x:f>
        <x:v>No provider flag</x:v>
      </x:c>
      <x:c r="H281" s="10" t="str">
        <x:v>No continuity adjustment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8" t="n">
        <x:v>46318</x:v>
      </x:c>
      <x:c r="E282" s="19" t="n">
        <x:f>'Source Audit'!E282</x:f>
        <x:v>0</x:v>
      </x:c>
      <x:c r="F282" s="40" t="n">
        <x:f>'Source Audit'!F282</x:f>
        <x:v>1</x:v>
      </x:c>
      <x:c r="G282" s="11" t="str">
        <x:f>IF(AND(E282=0,F282=1,'Source Audit'!I282&lt;&gt;"Mismatch"),"No provider flag","Review required")</x:f>
        <x:v>No provider flag</x:v>
      </x:c>
      <x:c r="H282" s="2" t="str">
        <x:v>No continuity adjustment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9" t="n">
        <x:v>46318</x:v>
      </x:c>
      <x:c r="E283" s="18" t="n">
        <x:f>'Source Audit'!E283</x:f>
        <x:v>0</x:v>
      </x:c>
      <x:c r="F283" s="41" t="n">
        <x:f>'Source Audit'!F283</x:f>
        <x:v>1</x:v>
      </x:c>
      <x:c r="G283" s="12" t="str">
        <x:f>IF(AND(E283=0,F283=1,'Source Audit'!I283&lt;&gt;"Mismatch"),"No provider flag","Review required")</x:f>
        <x:v>No provider flag</x:v>
      </x:c>
      <x:c r="H283" s="10" t="str">
        <x:v>No continuity adjustment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8" t="n">
        <x:v>46318</x:v>
      </x:c>
      <x:c r="E284" s="19" t="n">
        <x:f>'Source Audit'!E284</x:f>
        <x:v>0</x:v>
      </x:c>
      <x:c r="F284" s="40" t="n">
        <x:f>'Source Audit'!F284</x:f>
        <x:v>1</x:v>
      </x:c>
      <x:c r="G284" s="11" t="str">
        <x:f>IF(AND(E284=0,F284=1,'Source Audit'!I284&lt;&gt;"Mismatch"),"No provider flag","Review required")</x:f>
        <x:v>No provider flag</x:v>
      </x:c>
      <x:c r="H284" s="2" t="str">
        <x:v>No continuity adjustment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9" t="n">
        <x:v>46318</x:v>
      </x:c>
      <x:c r="E285" s="18" t="n">
        <x:f>'Source Audit'!E285</x:f>
        <x:v>0</x:v>
      </x:c>
      <x:c r="F285" s="41" t="n">
        <x:f>'Source Audit'!F285</x:f>
        <x:v>1</x:v>
      </x:c>
      <x:c r="G285" s="12" t="str">
        <x:f>IF(AND(E285=0,F285=1,'Source Audit'!I285&lt;&gt;"Mismatch"),"No provider flag","Review required")</x:f>
        <x:v>No provider flag</x:v>
      </x:c>
      <x:c r="H285" s="10" t="str">
        <x:v>No continuity adjustment</x:v>
      </x:c>
    </x:row>
    <x:row r="286" ht="44" customHeight="1">
      <x:c r="A286" s="8" t="n">
        <x:v>46318</x:v>
      </x:c>
      <x:c r="B286" s="2" t="str">
        <x:v>Ouster</x:v>
      </x:c>
      <x:c r="C286" s="2" t="str">
        <x:v>OUST</x:v>
      </x:c>
      <x:c r="D286" s="8" t="n">
        <x:v>46318</x:v>
      </x:c>
      <x:c r="E286" s="19" t="n">
        <x:f>'Source Audit'!E286</x:f>
        <x:v>0</x:v>
      </x:c>
      <x:c r="F286" s="40" t="n">
        <x:f>'Source Audit'!F286</x:f>
        <x:v>1</x:v>
      </x:c>
      <x:c r="G286" s="11" t="str">
        <x:f>IF(AND(E286=0,F286=1,'Source Audit'!I286&lt;&gt;"Mismatch"),"No provider flag","Review required")</x:f>
        <x:v>No provider flag</x:v>
      </x:c>
      <x:c r="H286" s="14" t="str">
        <x:v>Approved provider MIC exception; no price adjustment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9" t="n">
        <x:v>46318</x:v>
      </x:c>
      <x:c r="E287" s="18" t="n">
        <x:f>'Source Audit'!E287</x:f>
        <x:v>0</x:v>
      </x:c>
      <x:c r="F287" s="41" t="n">
        <x:f>'Source Audit'!F287</x:f>
        <x:v>1</x:v>
      </x:c>
      <x:c r="G287" s="12" t="str">
        <x:f>IF(AND(E287=0,F287=1,'Source Audit'!I287&lt;&gt;"Mismatch"),"No provider flag","Review required")</x:f>
        <x:v>No provider flag</x:v>
      </x:c>
      <x:c r="H287" s="10" t="str">
        <x:v>No continuity adjustment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8" t="n">
        <x:v>46318</x:v>
      </x:c>
      <x:c r="E288" s="19" t="n">
        <x:f>'Source Audit'!E288</x:f>
        <x:v>0</x:v>
      </x:c>
      <x:c r="F288" s="40" t="n">
        <x:f>'Source Audit'!F288</x:f>
        <x:v>1</x:v>
      </x:c>
      <x:c r="G288" s="11" t="str">
        <x:f>IF(AND(E288=0,F288=1,'Source Audit'!I288&lt;&gt;"Mismatch"),"No provider flag","Review required")</x:f>
        <x:v>No provider flag</x:v>
      </x:c>
      <x:c r="H288" s="2" t="str">
        <x:v>No continuity adjustment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9" t="n">
        <x:v>46318</x:v>
      </x:c>
      <x:c r="E289" s="18" t="n">
        <x:f>'Source Audit'!E289</x:f>
        <x:v>0</x:v>
      </x:c>
      <x:c r="F289" s="41" t="n">
        <x:f>'Source Audit'!F289</x:f>
        <x:v>1</x:v>
      </x:c>
      <x:c r="G289" s="12" t="str">
        <x:f>IF(AND(E289=0,F289=1,'Source Audit'!I289&lt;&gt;"Mismatch"),"No provider flag","Review required")</x:f>
        <x:v>No provider flag</x:v>
      </x:c>
      <x:c r="H289" s="10" t="str">
        <x:v>No continuity adjustment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8" t="n">
        <x:v>46318</x:v>
      </x:c>
      <x:c r="E290" s="19" t="n">
        <x:f>'Source Audit'!E290</x:f>
        <x:v>0</x:v>
      </x:c>
      <x:c r="F290" s="40" t="n">
        <x:f>'Source Audit'!F290</x:f>
        <x:v>1</x:v>
      </x:c>
      <x:c r="G290" s="11" t="str">
        <x:f>IF(AND(E290=0,F290=1,'Source Audit'!I290&lt;&gt;"Mismatch"),"No provider flag","Review required")</x:f>
        <x:v>No provider flag</x:v>
      </x:c>
      <x:c r="H290" s="2" t="str">
        <x:v>No continuity adjustment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9" t="n">
        <x:v>46318</x:v>
      </x:c>
      <x:c r="E291" s="18" t="n">
        <x:f>'Source Audit'!E291</x:f>
        <x:v>0</x:v>
      </x:c>
      <x:c r="F291" s="41" t="n">
        <x:f>'Source Audit'!F291</x:f>
        <x:v>1</x:v>
      </x:c>
      <x:c r="G291" s="12" t="str">
        <x:f>IF(AND(E291=0,F291=1,'Source Audit'!I291&lt;&gt;"Mismatch"),"No provider flag","Review required")</x:f>
        <x:v>No provider flag</x:v>
      </x:c>
      <x:c r="H291" s="10" t="str">
        <x:v>No continuity adjustment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8" t="n">
        <x:v>46318</x:v>
      </x:c>
      <x:c r="E292" s="19" t="n">
        <x:f>'Source Audit'!E292</x:f>
        <x:v>0</x:v>
      </x:c>
      <x:c r="F292" s="40" t="n">
        <x:f>'Source Audit'!F292</x:f>
        <x:v>1</x:v>
      </x:c>
      <x:c r="G292" s="11" t="str">
        <x:f>IF(AND(E292=0,F292=1,'Source Audit'!I292&lt;&gt;"Mismatch"),"No provider flag","Review required")</x:f>
        <x:v>No provider flag</x:v>
      </x:c>
      <x:c r="H292" s="2" t="str">
        <x:v>No continuity adjustment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9" t="n">
        <x:v>46318</x:v>
      </x:c>
      <x:c r="E293" s="18" t="n">
        <x:f>'Source Audit'!E293</x:f>
        <x:v>0</x:v>
      </x:c>
      <x:c r="F293" s="41" t="n">
        <x:f>'Source Audit'!F293</x:f>
        <x:v>1</x:v>
      </x:c>
      <x:c r="G293" s="12" t="str">
        <x:f>IF(AND(E293=0,F293=1,'Source Audit'!I293&lt;&gt;"Mismatch"),"No provider flag","Review required")</x:f>
        <x:v>No provider flag</x:v>
      </x:c>
      <x:c r="H293" s="10" t="str">
        <x:v>No continuity adjustment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8" t="n">
        <x:v>46318</x:v>
      </x:c>
      <x:c r="E294" s="19" t="n">
        <x:f>'Source Audit'!E294</x:f>
        <x:v>0</x:v>
      </x:c>
      <x:c r="F294" s="40" t="n">
        <x:f>'Source Audit'!F294</x:f>
        <x:v>1</x:v>
      </x:c>
      <x:c r="G294" s="11" t="str">
        <x:f>IF(AND(E294=0,F294=1,'Source Audit'!I294&lt;&gt;"Mismatch"),"No provider flag","Review required")</x:f>
        <x:v>No provider flag</x:v>
      </x:c>
      <x:c r="H294" s="2" t="str">
        <x:v>No continuity adjustment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9" t="n">
        <x:v>46321</x:v>
      </x:c>
      <x:c r="E295" s="18" t="n">
        <x:f>'Source Audit'!E295</x:f>
        <x:v>0</x:v>
      </x:c>
      <x:c r="F295" s="41" t="n">
        <x:f>'Source Audit'!F295</x:f>
        <x:v>1</x:v>
      </x:c>
      <x:c r="G295" s="12" t="str">
        <x:f>IF(AND(E295=0,F295=1,'Source Audit'!I295&lt;&gt;"Mismatch"),"No provider flag","Review required")</x:f>
        <x:v>No provider flag</x:v>
      </x:c>
      <x:c r="H295" s="10" t="str">
        <x:v>No continuity adjustment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8" t="n">
        <x:v>46321</x:v>
      </x:c>
      <x:c r="E296" s="19" t="n">
        <x:f>'Source Audit'!E296</x:f>
        <x:v>0</x:v>
      </x:c>
      <x:c r="F296" s="40" t="n">
        <x:f>'Source Audit'!F296</x:f>
        <x:v>1</x:v>
      </x:c>
      <x:c r="G296" s="11" t="str">
        <x:f>IF(AND(E296=0,F296=1,'Source Audit'!I296&lt;&gt;"Mismatch"),"No provider flag","Review required")</x:f>
        <x:v>No provider flag</x:v>
      </x:c>
      <x:c r="H296" s="2" t="str">
        <x:v>No continuity adjustment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9" t="n">
        <x:v>46321</x:v>
      </x:c>
      <x:c r="E297" s="18" t="n">
        <x:f>'Source Audit'!E297</x:f>
        <x:v>0</x:v>
      </x:c>
      <x:c r="F297" s="41" t="n">
        <x:f>'Source Audit'!F297</x:f>
        <x:v>1</x:v>
      </x:c>
      <x:c r="G297" s="12" t="str">
        <x:f>IF(AND(E297=0,F297=1,'Source Audit'!I297&lt;&gt;"Mismatch"),"No provider flag","Review required")</x:f>
        <x:v>No provider flag</x:v>
      </x:c>
      <x:c r="H297" s="10" t="str">
        <x:v>No continuity adjustment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8" t="n">
        <x:v>46321</x:v>
      </x:c>
      <x:c r="E298" s="19" t="n">
        <x:f>'Source Audit'!E298</x:f>
        <x:v>0</x:v>
      </x:c>
      <x:c r="F298" s="40" t="n">
        <x:f>'Source Audit'!F298</x:f>
        <x:v>1</x:v>
      </x:c>
      <x:c r="G298" s="11" t="str">
        <x:f>IF(AND(E298=0,F298=1,'Source Audit'!I298&lt;&gt;"Mismatch"),"No provider flag","Review required")</x:f>
        <x:v>No provider flag</x:v>
      </x:c>
      <x:c r="H298" s="2" t="str">
        <x:v>No continuity adjustment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9" t="n">
        <x:v>46321</x:v>
      </x:c>
      <x:c r="E299" s="18" t="n">
        <x:f>'Source Audit'!E299</x:f>
        <x:v>0</x:v>
      </x:c>
      <x:c r="F299" s="41" t="n">
        <x:f>'Source Audit'!F299</x:f>
        <x:v>1</x:v>
      </x:c>
      <x:c r="G299" s="12" t="str">
        <x:f>IF(AND(E299=0,F299=1,'Source Audit'!I299&lt;&gt;"Mismatch"),"No provider flag","Review required")</x:f>
        <x:v>No provider flag</x:v>
      </x:c>
      <x:c r="H299" s="10" t="str">
        <x:v>No continuity adjustment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8" t="n">
        <x:v>46321</x:v>
      </x:c>
      <x:c r="E300" s="19" t="n">
        <x:f>'Source Audit'!E300</x:f>
        <x:v>0</x:v>
      </x:c>
      <x:c r="F300" s="40" t="n">
        <x:f>'Source Audit'!F300</x:f>
        <x:v>1</x:v>
      </x:c>
      <x:c r="G300" s="11" t="str">
        <x:f>IF(AND(E300=0,F300=1,'Source Audit'!I300&lt;&gt;"Mismatch"),"No provider flag","Review required")</x:f>
        <x:v>No provider flag</x:v>
      </x:c>
      <x:c r="H300" s="2" t="str">
        <x:v>No continuity adjustment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9" t="n">
        <x:v>46321</x:v>
      </x:c>
      <x:c r="E301" s="18" t="n">
        <x:f>'Source Audit'!E301</x:f>
        <x:v>0</x:v>
      </x:c>
      <x:c r="F301" s="41" t="n">
        <x:f>'Source Audit'!F301</x:f>
        <x:v>1</x:v>
      </x:c>
      <x:c r="G301" s="12" t="str">
        <x:f>IF(AND(E301=0,F301=1,'Source Audit'!I301&lt;&gt;"Mismatch"),"No provider flag","Review required")</x:f>
        <x:v>No provider flag</x:v>
      </x:c>
      <x:c r="H301" s="10" t="str">
        <x:v>No continuity adjustment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8" t="n">
        <x:v>46321</x:v>
      </x:c>
      <x:c r="E302" s="19" t="n">
        <x:f>'Source Audit'!E302</x:f>
        <x:v>0</x:v>
      </x:c>
      <x:c r="F302" s="40" t="n">
        <x:f>'Source Audit'!F302</x:f>
        <x:v>1</x:v>
      </x:c>
      <x:c r="G302" s="11" t="str">
        <x:f>IF(AND(E302=0,F302=1,'Source Audit'!I302&lt;&gt;"Mismatch"),"No provider flag","Review required")</x:f>
        <x:v>No provider flag</x:v>
      </x:c>
      <x:c r="H302" s="2" t="str">
        <x:v>No continuity adjustment</x:v>
      </x:c>
    </x:row>
    <x:row r="303" ht="44" customHeight="1">
      <x:c r="A303" s="9" t="n">
        <x:v>46321</x:v>
      </x:c>
      <x:c r="B303" s="10" t="str">
        <x:v>Ouster</x:v>
      </x:c>
      <x:c r="C303" s="10" t="str">
        <x:v>OUST</x:v>
      </x:c>
      <x:c r="D303" s="9" t="n">
        <x:v>46321</x:v>
      </x:c>
      <x:c r="E303" s="18" t="n">
        <x:f>'Source Audit'!E303</x:f>
        <x:v>0</x:v>
      </x:c>
      <x:c r="F303" s="41" t="n">
        <x:f>'Source Audit'!F303</x:f>
        <x:v>1</x:v>
      </x:c>
      <x:c r="G303" s="12" t="str">
        <x:f>IF(AND(E303=0,F303=1,'Source Audit'!I303&lt;&gt;"Mismatch"),"No provider flag","Review required")</x:f>
        <x:v>No provider flag</x:v>
      </x:c>
      <x:c r="H303" s="16" t="str">
        <x:v>Approved provider MIC exception; no price adjustment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8" t="n">
        <x:v>46321</x:v>
      </x:c>
      <x:c r="E304" s="19" t="n">
        <x:f>'Source Audit'!E304</x:f>
        <x:v>0</x:v>
      </x:c>
      <x:c r="F304" s="40" t="n">
        <x:f>'Source Audit'!F304</x:f>
        <x:v>1</x:v>
      </x:c>
      <x:c r="G304" s="11" t="str">
        <x:f>IF(AND(E304=0,F304=1,'Source Audit'!I304&lt;&gt;"Mismatch"),"No provider flag","Review required")</x:f>
        <x:v>No provider flag</x:v>
      </x:c>
      <x:c r="H304" s="2" t="str">
        <x:v>No continuity adjustment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9" t="n">
        <x:v>46321</x:v>
      </x:c>
      <x:c r="E305" s="18" t="n">
        <x:f>'Source Audit'!E305</x:f>
        <x:v>0</x:v>
      </x:c>
      <x:c r="F305" s="41" t="n">
        <x:f>'Source Audit'!F305</x:f>
        <x:v>1</x:v>
      </x:c>
      <x:c r="G305" s="12" t="str">
        <x:f>IF(AND(E305=0,F305=1,'Source Audit'!I305&lt;&gt;"Mismatch"),"No provider flag","Review required")</x:f>
        <x:v>No provider flag</x:v>
      </x:c>
      <x:c r="H305" s="10" t="str">
        <x:v>No continuity adjustment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8" t="n">
        <x:v>46321</x:v>
      </x:c>
      <x:c r="E306" s="19" t="n">
        <x:f>'Source Audit'!E306</x:f>
        <x:v>0</x:v>
      </x:c>
      <x:c r="F306" s="40" t="n">
        <x:f>'Source Audit'!F306</x:f>
        <x:v>1</x:v>
      </x:c>
      <x:c r="G306" s="11" t="str">
        <x:f>IF(AND(E306=0,F306=1,'Source Audit'!I306&lt;&gt;"Mismatch"),"No provider flag","Review required")</x:f>
        <x:v>No provider flag</x:v>
      </x:c>
      <x:c r="H306" s="2" t="str">
        <x:v>No continuity adjustment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9" t="n">
        <x:v>46321</x:v>
      </x:c>
      <x:c r="E307" s="18" t="n">
        <x:f>'Source Audit'!E307</x:f>
        <x:v>0</x:v>
      </x:c>
      <x:c r="F307" s="41" t="n">
        <x:f>'Source Audit'!F307</x:f>
        <x:v>1</x:v>
      </x:c>
      <x:c r="G307" s="12" t="str">
        <x:f>IF(AND(E307=0,F307=1,'Source Audit'!I307&lt;&gt;"Mismatch"),"No provider flag","Review required")</x:f>
        <x:v>No provider flag</x:v>
      </x:c>
      <x:c r="H307" s="10" t="str">
        <x:v>No continuity adjustment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8" t="n">
        <x:v>46321</x:v>
      </x:c>
      <x:c r="E308" s="19" t="n">
        <x:f>'Source Audit'!E308</x:f>
        <x:v>0</x:v>
      </x:c>
      <x:c r="F308" s="40" t="n">
        <x:f>'Source Audit'!F308</x:f>
        <x:v>1</x:v>
      </x:c>
      <x:c r="G308" s="11" t="str">
        <x:f>IF(AND(E308=0,F308=1,'Source Audit'!I308&lt;&gt;"Mismatch"),"No provider flag","Review required")</x:f>
        <x:v>No provider flag</x:v>
      </x:c>
      <x:c r="H308" s="2" t="str">
        <x:v>No continuity adjustment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9" t="n">
        <x:v>46321</x:v>
      </x:c>
      <x:c r="E309" s="18" t="n">
        <x:f>'Source Audit'!E309</x:f>
        <x:v>0</x:v>
      </x:c>
      <x:c r="F309" s="41" t="n">
        <x:f>'Source Audit'!F309</x:f>
        <x:v>1</x:v>
      </x:c>
      <x:c r="G309" s="12" t="str">
        <x:f>IF(AND(E309=0,F309=1,'Source Audit'!I309&lt;&gt;"Mismatch"),"No provider flag","Review required")</x:f>
        <x:v>No provider flag</x:v>
      </x:c>
      <x:c r="H309" s="10" t="str">
        <x:v>No continuity adjustment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8" t="n">
        <x:v>46321</x:v>
      </x:c>
      <x:c r="E310" s="19" t="n">
        <x:f>'Source Audit'!E310</x:f>
        <x:v>0</x:v>
      </x:c>
      <x:c r="F310" s="40" t="n">
        <x:f>'Source Audit'!F310</x:f>
        <x:v>1</x:v>
      </x:c>
      <x:c r="G310" s="11" t="str">
        <x:f>IF(AND(E310=0,F310=1,'Source Audit'!I310&lt;&gt;"Mismatch"),"No provider flag","Review required")</x:f>
        <x:v>No provider flag</x:v>
      </x:c>
      <x:c r="H310" s="2" t="str">
        <x:v>No continuity adjustment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9" t="n">
        <x:v>46321</x:v>
      </x:c>
      <x:c r="E311" s="18" t="n">
        <x:f>'Source Audit'!E311</x:f>
        <x:v>0</x:v>
      </x:c>
      <x:c r="F311" s="41" t="n">
        <x:f>'Source Audit'!F311</x:f>
        <x:v>1</x:v>
      </x:c>
      <x:c r="G311" s="12" t="str">
        <x:f>IF(AND(E311=0,F311=1,'Source Audit'!I311&lt;&gt;"Mismatch"),"No provider flag","Review required")</x:f>
        <x:v>No provider flag</x:v>
      </x:c>
      <x:c r="H311" s="10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70571c29aa1d4e59"/>
  </x:tableParts>
</x:worksheet>
</file>