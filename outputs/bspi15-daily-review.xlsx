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8a2ddf26ce4b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c6f7da7b3c74541"/>
    <x:sheet xmlns:r="http://schemas.openxmlformats.org/officeDocument/2006/relationships" name="Prices" sheetId="2" r:id="R25e5422527154232"/>
    <x:sheet xmlns:r="http://schemas.openxmlformats.org/officeDocument/2006/relationships" name="Returns and Contributions" sheetId="3" r:id="Ra40c58b1cb3d48c9"/>
    <x:sheet xmlns:r="http://schemas.openxmlformats.org/officeDocument/2006/relationships" name="Source Audit" sheetId="4" r:id="Ra06f34215e75475e"/>
    <x:sheet xmlns:r="http://schemas.openxmlformats.org/officeDocument/2006/relationships" name="Corporate Actions" sheetId="5" r:id="R22af659891df41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fafd50945043d9" /><Relationship Type="http://schemas.openxmlformats.org/officeDocument/2006/relationships/theme" Target="/xl/theme/theme1.xml" Id="Rd356abc3919844c8" /><Relationship Type="http://schemas.openxmlformats.org/officeDocument/2006/relationships/sharedStrings" Target="/xl/sharedStrings.xml" Id="Rd5cd28eca1334b7d" /><Relationship Type="http://schemas.openxmlformats.org/officeDocument/2006/relationships/worksheet" Target="/xl/worksheets/sheet1.xml" Id="R0c6f7da7b3c74541" /><Relationship Type="http://schemas.openxmlformats.org/officeDocument/2006/relationships/worksheet" Target="/xl/worksheets/sheet2.xml" Id="R25e5422527154232" /><Relationship Type="http://schemas.openxmlformats.org/officeDocument/2006/relationships/worksheet" Target="/xl/worksheets/sheet3.xml" Id="Ra40c58b1cb3d48c9" /><Relationship Type="http://schemas.openxmlformats.org/officeDocument/2006/relationships/worksheet" Target="/xl/worksheets/sheet4.xml" Id="Ra06f34215e75475e" /><Relationship Type="http://schemas.openxmlformats.org/officeDocument/2006/relationships/worksheet" Target="/xl/worksheets/sheet5.xml" Id="R22af659891df4127" /></Relationships>
</file>

<file path=xl/tables/table1.xml><?xml version="1.0" encoding="utf-8"?>
<x:table xmlns:x="http://schemas.openxmlformats.org/spreadsheetml/2006/main" id="1" name="SummaryHistory" displayName="SummaryHistory" ref="A5:T25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345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30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345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345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614baf2ad246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707c100ef7340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e68bcb6acd044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dc758ba6c7546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a0ac8ad6f454596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  <x:row r="23" ht="40" customHeight="1">
      <x:c r="A23" s="9" t="n">
        <x:v>46321</x:v>
      </x:c>
      <x:c r="B23" s="18" t="n">
        <x:f>B22*(1+SUM('Returns and Contributions'!F261:F275))</x:f>
        <x:v>923.7297152894076</x:v>
      </x:c>
      <x:c r="C23" s="21" t="n">
        <x:f>B23/B22-1</x:f>
        <x:v>0.015106713495044222</x:v>
      </x:c>
      <x:c r="D23" s="21" t="n">
        <x:f>B23/$B$6-1</x:f>
        <x:v>-0.07627028471059238</x:v>
      </x:c>
      <x:c r="E23" s="18" t="n">
        <x:f>1000*'Prices'!H310/'Prices'!I310</x:f>
        <x:v>1001.3461249991848</x:v>
      </x:c>
      <x:c r="F23" s="21" t="n">
        <x:f>E23/E22-1</x:f>
        <x:v>0.006963828492276836</x:v>
      </x:c>
      <x:c r="G23" s="21" t="n">
        <x:f>E23/1000-1</x:f>
        <x:v>0.00134612499918485</x:v>
      </x:c>
      <x:c r="H23" s="18" t="n">
        <x:f>1000*'Prices'!H311/'Prices'!I311</x:f>
        <x:v>973.8677669968068</x:v>
      </x:c>
      <x:c r="I23" s="21" t="n">
        <x:f>H23/H22-1</x:f>
        <x:v>0.008246515038882185</x:v>
      </x:c>
      <x:c r="J23" s="21" t="n">
        <x:f>H23/1000-1</x:f>
        <x:v>-0.026132233003193117</x:v>
      </x:c>
      <x:c r="K23" s="25" t="n">
        <x:f>(C23-F23)*100</x:f>
        <x:v>0.8142885002767386</x:v>
      </x:c>
      <x:c r="L23" s="25" t="n">
        <x:f>(C23-I23)*100</x:f>
        <x:v>0.6860198456162037</x:v>
      </x:c>
      <x:c r="M23" s="23" t="n">
        <x:f>SUM('Returns and Contributions'!G261:G275)</x:f>
        <x:v>0.9999999999999996</x:v>
      </x:c>
      <x:c r="N23" s="27" t="n">
        <x:f>SUM('Returns and Contributions'!F261:F275)-C23</x:f>
        <x:v>-7.979727989493313e-17</x:v>
      </x:c>
      <x:c r="O23" s="10" t="n">
        <x:v>0</x:v>
      </x:c>
      <x:c r="P23" s="32" t="str">
        <x:f>IF(COUNTIF('Source Audit'!I295:I311,"Mismatch")=0,IF(COUNTIF('Source Audit'!I295:I311,"Approved MIC exception")&gt;0,"Passed / exception","Passed"),"Failed")</x:f>
        <x:v>Passed / exception</x:v>
      </x:c>
      <x:c r="Q23" s="30" t="n">
        <x:v>46322.47680405092</x:v>
      </x:c>
      <x:c r="R23" s="27" t="n">
        <x:f>B23-1000*('Prices'!H295/'Prices'!H6+'Prices'!H296/'Prices'!H7+'Prices'!H297/'Prices'!H8+'Prices'!H298/'Prices'!H9+'Prices'!H299/'Prices'!H10+'Prices'!H300/'Prices'!H11+'Prices'!H301/'Prices'!H12+'Prices'!H302/'Prices'!H13+'Prices'!H303/'Prices'!H14+'Prices'!H304/'Prices'!H15+'Prices'!H305/'Prices'!H16+'Prices'!H306/'Prices'!H17+'Prices'!H307/'Prices'!H18+'Prices'!H308/'Prices'!H19+'Prices'!H309/'Prices'!H20)/15</x:f>
        <x:v>3.410605131648481e-13</x:v>
      </x:c>
      <x:c r="S23" s="25" t="n">
        <x:f>(D23-G23)*100</x:f>
        <x:v>-7.761640970977723</x:v>
      </x:c>
      <x:c r="T23" s="25" t="n">
        <x:f>(D23-J23)*100</x:f>
        <x:v>-5.013805170739927</x:v>
      </x:c>
    </x:row>
    <x:row r="24" ht="40" customHeight="1">
      <x:c r="A24" s="8" t="n">
        <x:v>46322</x:v>
      </x:c>
      <x:c r="B24" s="19" t="n">
        <x:f>B23*(1+SUM('Returns and Contributions'!F276:F290))</x:f>
        <x:v>937.6004397134458</x:v>
      </x:c>
      <x:c r="C24" s="20" t="n">
        <x:f>B24/B23-1</x:f>
        <x:v>0.015015998938274322</x:v>
      </x:c>
      <x:c r="D24" s="20" t="n">
        <x:f>B24/$B$6-1</x:f>
        <x:v>-0.062399560286554245</x:v>
      </x:c>
      <x:c r="E24" s="19" t="n">
        <x:f>1000*'Prices'!H327/'Prices'!I327</x:f>
        <x:v>1007.3241200294791</x:v>
      </x:c>
      <x:c r="F24" s="20" t="n">
        <x:f>E24/E23-1</x:f>
        <x:v>0.005969958719617807</x:v>
      </x:c>
      <x:c r="G24" s="20" t="n">
        <x:f>E24/1000-1</x:f>
        <x:v>0.007324120029479131</x:v>
      </x:c>
      <x:c r="H24" s="19" t="n">
        <x:f>1000*'Prices'!H328/'Prices'!I328</x:f>
        <x:v>985.3456711541696</x:v>
      </x:c>
      <x:c r="I24" s="20" t="n">
        <x:f>H24/H23-1</x:f>
        <x:v>0.011785895936116786</x:v>
      </x:c>
      <x:c r="J24" s="20" t="n">
        <x:f>H24/1000-1</x:f>
        <x:v>-0.0146543288458304</x:v>
      </x:c>
      <x:c r="K24" s="24" t="n">
        <x:f>(C24-F24)*100</x:f>
        <x:v>0.9046040218656515</x:v>
      </x:c>
      <x:c r="L24" s="24" t="n">
        <x:f>(C24-I24)*100</x:f>
        <x:v>0.3230103002157536</x:v>
      </x:c>
      <x:c r="M24" s="22" t="n">
        <x:f>SUM('Returns and Contributions'!G276:G290)</x:f>
        <x:v>0.9999999999999994</x:v>
      </x:c>
      <x:c r="N24" s="28" t="n">
        <x:f>SUM('Returns and Contributions'!F276:F290)-C24</x:f>
        <x:v>1.9081958235744878e-17</x:v>
      </x:c>
      <x:c r="O24" s="2" t="n">
        <x:v>0</x:v>
      </x:c>
      <x:c r="P24" s="31" t="str">
        <x:f>IF(COUNTIF('Source Audit'!I312:I328,"Mismatch")=0,IF(COUNTIF('Source Audit'!I312:I328,"Approved MIC exception")&gt;0,"Passed / exception","Passed"),"Failed")</x:f>
        <x:v>Passed / exception</x:v>
      </x:c>
      <x:c r="Q24" s="29" t="n">
        <x:v>46323.47867960648</x:v>
      </x:c>
      <x:c r="R24" s="28" t="n">
        <x:f>B24-1000*('Prices'!H312/'Prices'!H6+'Prices'!H313/'Prices'!H7+'Prices'!H314/'Prices'!H8+'Prices'!H315/'Prices'!H9+'Prices'!H316/'Prices'!H10+'Prices'!H317/'Prices'!H11+'Prices'!H318/'Prices'!H12+'Prices'!H319/'Prices'!H13+'Prices'!H320/'Prices'!H14+'Prices'!H321/'Prices'!H15+'Prices'!H322/'Prices'!H16+'Prices'!H323/'Prices'!H17+'Prices'!H324/'Prices'!H18+'Prices'!H325/'Prices'!H19+'Prices'!H326/'Prices'!H20)/15</x:f>
        <x:v>3.410605131648481e-13</x:v>
      </x:c>
      <x:c r="S24" s="24" t="n">
        <x:f>(D24-G24)*100</x:f>
        <x:v>-6.972368031603338</x:v>
      </x:c>
      <x:c r="T24" s="24" t="n">
        <x:f>(D24-J24)*100</x:f>
        <x:v>-4.7745231440723845</x:v>
      </x:c>
    </x:row>
    <x:row r="25" ht="40" customHeight="1">
      <x:c r="A25" s="9" t="n">
        <x:v>46323</x:v>
      </x:c>
      <x:c r="B25" s="18" t="n">
        <x:f>B24*(1+SUM('Returns and Contributions'!F291:F305))</x:f>
        <x:v>954.9187500693777</x:v>
      </x:c>
      <x:c r="C25" s="21" t="n">
        <x:f>B25/B24-1</x:f>
        <x:v>0.018470885488518718</x:v>
      </x:c>
      <x:c r="D25" s="21" t="n">
        <x:f>B25/$B$6-1</x:f>
        <x:v>-0.04508124993062235</x:v>
      </x:c>
      <x:c r="E25" s="18" t="n">
        <x:f>1000*'Prices'!H344/'Prices'!I344</x:f>
        <x:v>1010.1128944948445</x:v>
      </x:c>
      <x:c r="F25" s="21" t="n">
        <x:f>E25/E24-1</x:f>
        <x:v>0.0027684976562298846</x:v>
      </x:c>
      <x:c r="G25" s="21" t="n">
        <x:f>E25/1000-1</x:f>
        <x:v>0.010112894494844538</x:v>
      </x:c>
      <x:c r="H25" s="18" t="n">
        <x:f>1000*'Prices'!H345/'Prices'!I345</x:f>
        <x:v>988.0266098228026</x:v>
      </x:c>
      <x:c r="I25" s="21" t="n">
        <x:f>H25/H24-1</x:f>
        <x:v>0.0027208103177565057</x:v>
      </x:c>
      <x:c r="J25" s="21" t="n">
        <x:f>H25/1000-1</x:f>
        <x:v>-0.011973390177197452</x:v>
      </x:c>
      <x:c r="K25" s="25" t="n">
        <x:f>(C25-F25)*100</x:f>
        <x:v>1.5702387832288833</x:v>
      </x:c>
      <x:c r="L25" s="25" t="n">
        <x:f>(C25-I25)*100</x:f>
        <x:v>1.5750075170762212</x:v>
      </x:c>
      <x:c r="M25" s="23" t="n">
        <x:f>SUM('Returns and Contributions'!G291:G305)</x:f>
        <x:v>0.9999999999999996</x:v>
      </x:c>
      <x:c r="N25" s="27" t="n">
        <x:f>SUM('Returns and Contributions'!F291:F305)-C25</x:f>
        <x:v>-6.938893903907228e-18</x:v>
      </x:c>
      <x:c r="O25" s="10" t="n">
        <x:v>0</x:v>
      </x:c>
      <x:c r="P25" s="32" t="str">
        <x:f>IF(COUNTIF('Source Audit'!I329:I345,"Mismatch")=0,IF(COUNTIF('Source Audit'!I329:I345,"Approved MIC exception")&gt;0,"Passed / exception","Passed"),"Failed")</x:f>
        <x:v>Passed / exception</x:v>
      </x:c>
      <x:c r="Q25" s="30" t="n">
        <x:v>46324.478115729165</x:v>
      </x:c>
      <x:c r="R25" s="27" t="n">
        <x:f>B25-1000*('Prices'!H329/'Prices'!H6+'Prices'!H330/'Prices'!H7+'Prices'!H331/'Prices'!H8+'Prices'!H332/'Prices'!H9+'Prices'!H333/'Prices'!H10+'Prices'!H334/'Prices'!H11+'Prices'!H335/'Prices'!H12+'Prices'!H336/'Prices'!H13+'Prices'!H337/'Prices'!H14+'Prices'!H338/'Prices'!H15+'Prices'!H339/'Prices'!H16+'Prices'!H340/'Prices'!H17+'Prices'!H341/'Prices'!H18+'Prices'!H342/'Prices'!H19+'Prices'!H343/'Prices'!H20)/15</x:f>
        <x:v>4.547473508864641e-13</x:v>
      </x:c>
      <x:c r="S25" s="25" t="n">
        <x:f>(D25-G25)*100</x:f>
        <x:v>-5.5194144425466884</x:v>
      </x:c>
      <x:c r="T25" s="25" t="n">
        <x:f>(D25-J25)*100</x:f>
        <x:v>-3.3107859753424895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39614baf2ad246d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10" t="str">
        <x:v>6954.T</x:v>
      </x:c>
      <x:c r="E295" s="10" t="str">
        <x:v>XJPX</x:v>
      </x:c>
      <x:c r="F295" s="10" t="str">
        <x:v>JPY</x:v>
      </x:c>
      <x:c r="G295" s="33" t="n">
        <x:f>H278</x:f>
        <x:v>5587</x:v>
      </x:c>
      <x:c r="H295" s="35" t="n">
        <x:v>5639</x:v>
      </x:c>
      <x:c r="I295" s="35" t="n">
        <x:v>6127</x:v>
      </x:c>
      <x:c r="J295" s="9" t="n">
        <x:v>46321</x:v>
      </x:c>
      <x:c r="K295" s="10" t="str">
        <x:v>Open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2" t="str">
        <x:v>6506.T</x:v>
      </x:c>
      <x:c r="E296" s="2" t="str">
        <x:v>XJPX</x:v>
      </x:c>
      <x:c r="F296" s="2" t="str">
        <x:v>JPY</x:v>
      </x:c>
      <x:c r="G296" s="17" t="n">
        <x:f>H279</x:f>
        <x:v>4022</x:v>
      </x:c>
      <x:c r="H296" s="34" t="n">
        <x:v>3980</x:v>
      </x:c>
      <x:c r="I296" s="34" t="n">
        <x:v>4779</x:v>
      </x:c>
      <x:c r="J296" s="8" t="n">
        <x:v>46321</x:v>
      </x:c>
      <x:c r="K296" s="2" t="str">
        <x:v>Open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10" t="str">
        <x:v>002747.SZ</x:v>
      </x:c>
      <x:c r="E297" s="10" t="str">
        <x:v>XSHE</x:v>
      </x:c>
      <x:c r="F297" s="10" t="str">
        <x:v>CNY</x:v>
      </x:c>
      <x:c r="G297" s="33" t="n">
        <x:f>H280</x:f>
        <x:v>29.18</x:v>
      </x:c>
      <x:c r="H297" s="35" t="n">
        <x:v>30.59</x:v>
      </x:c>
      <x:c r="I297" s="35" t="n">
        <x:v>28.22</x:v>
      </x:c>
      <x:c r="J297" s="9" t="n">
        <x:v>46321</x:v>
      </x:c>
      <x:c r="K297" s="10" t="str">
        <x:v>Open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2" t="str">
        <x:v>TER</x:v>
      </x:c>
      <x:c r="E298" s="2" t="str">
        <x:v>XNAS</x:v>
      </x:c>
      <x:c r="F298" s="2" t="str">
        <x:v>USD</x:v>
      </x:c>
      <x:c r="G298" s="17" t="n">
        <x:f>H281</x:f>
        <x:v>308.85</x:v>
      </x:c>
      <x:c r="H298" s="34" t="n">
        <x:v>309</x:v>
      </x:c>
      <x:c r="I298" s="34" t="n">
        <x:v>415.79</x:v>
      </x:c>
      <x:c r="J298" s="8" t="n">
        <x:v>46321</x:v>
      </x:c>
      <x:c r="K298" s="2" t="str">
        <x:v>Open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10" t="str">
        <x:v>6268.T</x:v>
      </x:c>
      <x:c r="E299" s="10" t="str">
        <x:v>XJPX</x:v>
      </x:c>
      <x:c r="F299" s="10" t="str">
        <x:v>JPY</x:v>
      </x:c>
      <x:c r="G299" s="33" t="n">
        <x:f>H282</x:f>
        <x:v>4118</x:v>
      </x:c>
      <x:c r="H299" s="35" t="n">
        <x:v>4140</x:v>
      </x:c>
      <x:c r="I299" s="35" t="n">
        <x:v>4975</x:v>
      </x:c>
      <x:c r="J299" s="9" t="n">
        <x:v>46321</x:v>
      </x:c>
      <x:c r="K299" s="10" t="str">
        <x:v>Open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2" t="str">
        <x:v>300124.SZ</x:v>
      </x:c>
      <x:c r="E300" s="2" t="str">
        <x:v>XSHE</x:v>
      </x:c>
      <x:c r="F300" s="2" t="str">
        <x:v>CNY</x:v>
      </x:c>
      <x:c r="G300" s="17" t="n">
        <x:f>H283</x:f>
        <x:v>53.5</x:v>
      </x:c>
      <x:c r="H300" s="34" t="n">
        <x:v>55.25</x:v>
      </x:c>
      <x:c r="I300" s="34" t="n">
        <x:v>51.9</x:v>
      </x:c>
      <x:c r="J300" s="8" t="n">
        <x:v>46321</x:v>
      </x:c>
      <x:c r="K300" s="2" t="str">
        <x:v>Open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10" t="str">
        <x:v>6861.T</x:v>
      </x:c>
      <x:c r="E301" s="10" t="str">
        <x:v>XJPX</x:v>
      </x:c>
      <x:c r="F301" s="10" t="str">
        <x:v>JPY</x:v>
      </x:c>
      <x:c r="G301" s="33" t="n">
        <x:f>H284</x:f>
        <x:v>78380</x:v>
      </x:c>
      <x:c r="H301" s="35" t="n">
        <x:v>77270</x:v>
      </x:c>
      <x:c r="I301" s="35" t="n">
        <x:v>81200</x:v>
      </x:c>
      <x:c r="J301" s="9" t="n">
        <x:v>46321</x:v>
      </x:c>
      <x:c r="K301" s="10" t="str">
        <x:v>Open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2" t="str">
        <x:v>CGNX</x:v>
      </x:c>
      <x:c r="E302" s="2" t="str">
        <x:v>XNAS</x:v>
      </x:c>
      <x:c r="F302" s="2" t="str">
        <x:v>USD</x:v>
      </x:c>
      <x:c r="G302" s="17" t="n">
        <x:f>H285</x:f>
        <x:v>55.55</x:v>
      </x:c>
      <x:c r="H302" s="34" t="n">
        <x:v>55.63</x:v>
      </x:c>
      <x:c r="I302" s="34" t="n">
        <x:v>62.22</x:v>
      </x:c>
      <x:c r="J302" s="8" t="n">
        <x:v>46321</x:v>
      </x:c>
      <x:c r="K302" s="2" t="str">
        <x:v>Open</x:v>
      </x:c>
    </x:row>
    <x:row r="303" ht="27" customHeight="1">
      <x:c r="A303" s="9" t="n">
        <x:v>46321</x:v>
      </x:c>
      <x:c r="B303" s="10" t="str">
        <x:v>Ouster</x:v>
      </x:c>
      <x:c r="C303" s="10" t="str">
        <x:v>OUST</x:v>
      </x:c>
      <x:c r="D303" s="10" t="str">
        <x:v>OUST</x:v>
      </x:c>
      <x:c r="E303" s="10" t="str">
        <x:v>XNAS</x:v>
      </x:c>
      <x:c r="F303" s="10" t="str">
        <x:v>USD</x:v>
      </x:c>
      <x:c r="G303" s="33" t="n">
        <x:f>H286</x:f>
        <x:v>29.69</x:v>
      </x:c>
      <x:c r="H303" s="35" t="n">
        <x:v>29.71</x:v>
      </x:c>
      <x:c r="I303" s="35" t="n">
        <x:v>40.87</x:v>
      </x:c>
      <x:c r="J303" s="9" t="n">
        <x:v>46321</x:v>
      </x:c>
      <x:c r="K303" s="10" t="str">
        <x:v>Open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2" t="str">
        <x:v>HSAI</x:v>
      </x:c>
      <x:c r="E304" s="2" t="str">
        <x:v>XNAS</x:v>
      </x:c>
      <x:c r="F304" s="2" t="str">
        <x:v>USD</x:v>
      </x:c>
      <x:c r="G304" s="17" t="n">
        <x:f>H287</x:f>
        <x:v>13.13</x:v>
      </x:c>
      <x:c r="H304" s="34" t="n">
        <x:v>13.69</x:v>
      </x:c>
      <x:c r="I304" s="34" t="n">
        <x:v>15.93</x:v>
      </x:c>
      <x:c r="J304" s="8" t="n">
        <x:v>46321</x:v>
      </x:c>
      <x:c r="K304" s="2" t="str">
        <x:v>Open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10" t="str">
        <x:v>ROK</x:v>
      </x:c>
      <x:c r="E305" s="10" t="str">
        <x:v>XNYS</x:v>
      </x:c>
      <x:c r="F305" s="10" t="str">
        <x:v>USD</x:v>
      </x:c>
      <x:c r="G305" s="33" t="n">
        <x:f>H288</x:f>
        <x:v>426.11</x:v>
      </x:c>
      <x:c r="H305" s="35" t="n">
        <x:v>429.89</x:v>
      </x:c>
      <x:c r="I305" s="35" t="n">
        <x:v>442.45</x:v>
      </x:c>
      <x:c r="J305" s="9" t="n">
        <x:v>46321</x:v>
      </x:c>
      <x:c r="K305" s="10" t="str">
        <x:v>Open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2" t="str">
        <x:v>SIE.DE</x:v>
      </x:c>
      <x:c r="E306" s="2" t="str">
        <x:v>XETR</x:v>
      </x:c>
      <x:c r="F306" s="2" t="str">
        <x:v>EUR</x:v>
      </x:c>
      <x:c r="G306" s="17" t="n">
        <x:f>H289</x:f>
        <x:v>256.8</x:v>
      </x:c>
      <x:c r="H306" s="34" t="n">
        <x:v>261.4</x:v>
      </x:c>
      <x:c r="I306" s="34" t="n">
        <x:v>271.9</x:v>
      </x:c>
      <x:c r="J306" s="8" t="n">
        <x:v>46321</x:v>
      </x:c>
      <x:c r="K306" s="2" t="str">
        <x:v>Open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10" t="str">
        <x:v>NXPI</x:v>
      </x:c>
      <x:c r="E307" s="10" t="str">
        <x:v>XNAS</x:v>
      </x:c>
      <x:c r="F307" s="10" t="str">
        <x:v>USD</x:v>
      </x:c>
      <x:c r="G307" s="33" t="n">
        <x:f>H290</x:f>
        <x:v>234.92</x:v>
      </x:c>
      <x:c r="H307" s="35" t="n">
        <x:v>245.83</x:v>
      </x:c>
      <x:c r="I307" s="35" t="n">
        <x:v>239.19</x:v>
      </x:c>
      <x:c r="J307" s="9" t="n">
        <x:v>46321</x:v>
      </x:c>
      <x:c r="K307" s="10" t="str">
        <x:v>Open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2" t="str">
        <x:v>6383.T</x:v>
      </x:c>
      <x:c r="E308" s="2" t="str">
        <x:v>XJPX</x:v>
      </x:c>
      <x:c r="F308" s="2" t="str">
        <x:v>JPY</x:v>
      </x:c>
      <x:c r="G308" s="17" t="n">
        <x:f>H291</x:f>
        <x:v>5199</x:v>
      </x:c>
      <x:c r="H308" s="34" t="n">
        <x:v>5137</x:v>
      </x:c>
      <x:c r="I308" s="34" t="n">
        <x:v>5832</x:v>
      </x:c>
      <x:c r="J308" s="8" t="n">
        <x:v>46321</x:v>
      </x:c>
      <x:c r="K308" s="2" t="str">
        <x:v>Open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10" t="str">
        <x:v>HEXA-B.ST</x:v>
      </x:c>
      <x:c r="E309" s="10" t="str">
        <x:v>XSTO</x:v>
      </x:c>
      <x:c r="F309" s="10" t="str">
        <x:v>SEK</x:v>
      </x:c>
      <x:c r="G309" s="33" t="n">
        <x:f>H292</x:f>
        <x:v>106.05</x:v>
      </x:c>
      <x:c r="H309" s="35" t="n">
        <x:v>109.45</x:v>
      </x:c>
      <x:c r="I309" s="35" t="n">
        <x:v>99.02</x:v>
      </x:c>
      <x:c r="J309" s="9" t="n">
        <x:v>46321</x:v>
      </x:c>
      <x:c r="K309" s="10" t="str">
        <x:v>Open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2" t="str">
        <x:v>GSPC.INDX</x:v>
      </x:c>
      <x:c r="E310" s="2" t="str">
        <x:v>INDX</x:v>
      </x:c>
      <x:c r="F310" s="2" t="str">
        <x:v>USD</x:v>
      </x:c>
      <x:c r="G310" s="17" t="n">
        <x:f>H293</x:f>
        <x:v>7623.68</x:v>
      </x:c>
      <x:c r="H310" s="34" t="n">
        <x:v>7676.77</x:v>
      </x:c>
      <x:c r="I310" s="34" t="n">
        <x:v>7666.45</x:v>
      </x:c>
      <x:c r="J310" s="8" t="n">
        <x:v>46321</x:v>
      </x:c>
      <x:c r="K310" s="2" t="str">
        <x:v>Open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10" t="str">
        <x:v>IXIC.INDX</x:v>
      </x:c>
      <x:c r="E311" s="10" t="str">
        <x:v>INDX</x:v>
      </x:c>
      <x:c r="F311" s="10" t="str">
        <x:v>USD</x:v>
      </x:c>
      <x:c r="G311" s="33" t="n">
        <x:f>H294</x:f>
        <x:v>25955.3398</x:v>
      </x:c>
      <x:c r="H311" s="35" t="n">
        <x:v>26169.3809</x:v>
      </x:c>
      <x:c r="I311" s="35" t="n">
        <x:v>26871.5957</x:v>
      </x:c>
      <x:c r="J311" s="9" t="n">
        <x:v>46321</x:v>
      </x:c>
      <x:c r="K311" s="10" t="str">
        <x:v>Open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2" t="str">
        <x:v>6954.T</x:v>
      </x:c>
      <x:c r="E312" s="2" t="str">
        <x:v>XJPX</x:v>
      </x:c>
      <x:c r="F312" s="2" t="str">
        <x:v>JPY</x:v>
      </x:c>
      <x:c r="G312" s="17" t="n">
        <x:f>H295</x:f>
        <x:v>5639</x:v>
      </x:c>
      <x:c r="H312" s="34" t="n">
        <x:v>5820</x:v>
      </x:c>
      <x:c r="I312" s="34" t="n">
        <x:v>6127</x:v>
      </x:c>
      <x:c r="J312" s="8" t="n">
        <x:v>46322</x:v>
      </x:c>
      <x:c r="K312" s="2" t="str">
        <x:v>Open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10" t="str">
        <x:v>6506.T</x:v>
      </x:c>
      <x:c r="E313" s="10" t="str">
        <x:v>XJPX</x:v>
      </x:c>
      <x:c r="F313" s="10" t="str">
        <x:v>JPY</x:v>
      </x:c>
      <x:c r="G313" s="33" t="n">
        <x:f>H296</x:f>
        <x:v>3980</x:v>
      </x:c>
      <x:c r="H313" s="35" t="n">
        <x:v>4090</x:v>
      </x:c>
      <x:c r="I313" s="35" t="n">
        <x:v>4779</x:v>
      </x:c>
      <x:c r="J313" s="9" t="n">
        <x:v>46322</x:v>
      </x:c>
      <x:c r="K313" s="10" t="str">
        <x:v>Open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2" t="str">
        <x:v>002747.SZ</x:v>
      </x:c>
      <x:c r="E314" s="2" t="str">
        <x:v>XSHE</x:v>
      </x:c>
      <x:c r="F314" s="2" t="str">
        <x:v>CNY</x:v>
      </x:c>
      <x:c r="G314" s="17" t="n">
        <x:f>H297</x:f>
        <x:v>30.59</x:v>
      </x:c>
      <x:c r="H314" s="34" t="n">
        <x:v>28.45</x:v>
      </x:c>
      <x:c r="I314" s="34" t="n">
        <x:v>28.22</x:v>
      </x:c>
      <x:c r="J314" s="8" t="n">
        <x:v>46322</x:v>
      </x:c>
      <x:c r="K314" s="2" t="str">
        <x:v>Open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10" t="str">
        <x:v>TER</x:v>
      </x:c>
      <x:c r="E315" s="10" t="str">
        <x:v>XNAS</x:v>
      </x:c>
      <x:c r="F315" s="10" t="str">
        <x:v>USD</x:v>
      </x:c>
      <x:c r="G315" s="33" t="n">
        <x:f>H298</x:f>
        <x:v>309</x:v>
      </x:c>
      <x:c r="H315" s="35" t="n">
        <x:v>323.68</x:v>
      </x:c>
      <x:c r="I315" s="35" t="n">
        <x:v>415.79</x:v>
      </x:c>
      <x:c r="J315" s="9" t="n">
        <x:v>46322</x:v>
      </x:c>
      <x:c r="K315" s="10" t="str">
        <x:v>Open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2" t="str">
        <x:v>6268.T</x:v>
      </x:c>
      <x:c r="E316" s="2" t="str">
        <x:v>XJPX</x:v>
      </x:c>
      <x:c r="F316" s="2" t="str">
        <x:v>JPY</x:v>
      </x:c>
      <x:c r="G316" s="17" t="n">
        <x:f>H299</x:f>
        <x:v>4140</x:v>
      </x:c>
      <x:c r="H316" s="34" t="n">
        <x:v>4285</x:v>
      </x:c>
      <x:c r="I316" s="34" t="n">
        <x:v>4975</x:v>
      </x:c>
      <x:c r="J316" s="8" t="n">
        <x:v>46322</x:v>
      </x:c>
      <x:c r="K316" s="2" t="str">
        <x:v>Open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10" t="str">
        <x:v>300124.SZ</x:v>
      </x:c>
      <x:c r="E317" s="10" t="str">
        <x:v>XSHE</x:v>
      </x:c>
      <x:c r="F317" s="10" t="str">
        <x:v>CNY</x:v>
      </x:c>
      <x:c r="G317" s="33" t="n">
        <x:f>H300</x:f>
        <x:v>55.25</x:v>
      </x:c>
      <x:c r="H317" s="35" t="n">
        <x:v>53.31</x:v>
      </x:c>
      <x:c r="I317" s="35" t="n">
        <x:v>51.9</x:v>
      </x:c>
      <x:c r="J317" s="9" t="n">
        <x:v>46322</x:v>
      </x:c>
      <x:c r="K317" s="10" t="str">
        <x:v>Open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2" t="str">
        <x:v>6861.T</x:v>
      </x:c>
      <x:c r="E318" s="2" t="str">
        <x:v>XJPX</x:v>
      </x:c>
      <x:c r="F318" s="2" t="str">
        <x:v>JPY</x:v>
      </x:c>
      <x:c r="G318" s="17" t="n">
        <x:f>H301</x:f>
        <x:v>77270</x:v>
      </x:c>
      <x:c r="H318" s="34" t="n">
        <x:v>79080</x:v>
      </x:c>
      <x:c r="I318" s="34" t="n">
        <x:v>81200</x:v>
      </x:c>
      <x:c r="J318" s="8" t="n">
        <x:v>46322</x:v>
      </x:c>
      <x:c r="K318" s="2" t="str">
        <x:v>Open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10" t="str">
        <x:v>CGNX</x:v>
      </x:c>
      <x:c r="E319" s="10" t="str">
        <x:v>XNAS</x:v>
      </x:c>
      <x:c r="F319" s="10" t="str">
        <x:v>USD</x:v>
      </x:c>
      <x:c r="G319" s="33" t="n">
        <x:f>H302</x:f>
        <x:v>55.63</x:v>
      </x:c>
      <x:c r="H319" s="35" t="n">
        <x:v>58.22</x:v>
      </x:c>
      <x:c r="I319" s="35" t="n">
        <x:v>62.22</x:v>
      </x:c>
      <x:c r="J319" s="9" t="n">
        <x:v>46322</x:v>
      </x:c>
      <x:c r="K319" s="10" t="str">
        <x:v>Open</x:v>
      </x:c>
    </x:row>
    <x:row r="320" ht="27" customHeight="1">
      <x:c r="A320" s="8" t="n">
        <x:v>46322</x:v>
      </x:c>
      <x:c r="B320" s="2" t="str">
        <x:v>Ouster</x:v>
      </x:c>
      <x:c r="C320" s="2" t="str">
        <x:v>OUST</x:v>
      </x:c>
      <x:c r="D320" s="2" t="str">
        <x:v>OUST</x:v>
      </x:c>
      <x:c r="E320" s="2" t="str">
        <x:v>XNAS</x:v>
      </x:c>
      <x:c r="F320" s="2" t="str">
        <x:v>USD</x:v>
      </x:c>
      <x:c r="G320" s="17" t="n">
        <x:f>H303</x:f>
        <x:v>29.71</x:v>
      </x:c>
      <x:c r="H320" s="34" t="n">
        <x:v>32.79</x:v>
      </x:c>
      <x:c r="I320" s="34" t="n">
        <x:v>40.87</x:v>
      </x:c>
      <x:c r="J320" s="8" t="n">
        <x:v>46322</x:v>
      </x:c>
      <x:c r="K320" s="2" t="str">
        <x:v>Open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10" t="str">
        <x:v>HSAI</x:v>
      </x:c>
      <x:c r="E321" s="10" t="str">
        <x:v>XNAS</x:v>
      </x:c>
      <x:c r="F321" s="10" t="str">
        <x:v>USD</x:v>
      </x:c>
      <x:c r="G321" s="33" t="n">
        <x:f>H304</x:f>
        <x:v>13.69</x:v>
      </x:c>
      <x:c r="H321" s="35" t="n">
        <x:v>13.35</x:v>
      </x:c>
      <x:c r="I321" s="35" t="n">
        <x:v>15.93</x:v>
      </x:c>
      <x:c r="J321" s="9" t="n">
        <x:v>46322</x:v>
      </x:c>
      <x:c r="K321" s="10" t="str">
        <x:v>Open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2" t="str">
        <x:v>ROK</x:v>
      </x:c>
      <x:c r="E322" s="2" t="str">
        <x:v>XNYS</x:v>
      </x:c>
      <x:c r="F322" s="2" t="str">
        <x:v>USD</x:v>
      </x:c>
      <x:c r="G322" s="17" t="n">
        <x:f>H305</x:f>
        <x:v>429.89</x:v>
      </x:c>
      <x:c r="H322" s="34" t="n">
        <x:v>439.2</x:v>
      </x:c>
      <x:c r="I322" s="34" t="n">
        <x:v>442.45</x:v>
      </x:c>
      <x:c r="J322" s="8" t="n">
        <x:v>46322</x:v>
      </x:c>
      <x:c r="K322" s="2" t="str">
        <x:v>Open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10" t="str">
        <x:v>SIE.DE</x:v>
      </x:c>
      <x:c r="E323" s="10" t="str">
        <x:v>XETR</x:v>
      </x:c>
      <x:c r="F323" s="10" t="str">
        <x:v>EUR</x:v>
      </x:c>
      <x:c r="G323" s="33" t="n">
        <x:f>H306</x:f>
        <x:v>261.4</x:v>
      </x:c>
      <x:c r="H323" s="35" t="n">
        <x:v>266.2</x:v>
      </x:c>
      <x:c r="I323" s="35" t="n">
        <x:v>271.9</x:v>
      </x:c>
      <x:c r="J323" s="9" t="n">
        <x:v>46322</x:v>
      </x:c>
      <x:c r="K323" s="10" t="str">
        <x:v>Open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2" t="str">
        <x:v>NXPI</x:v>
      </x:c>
      <x:c r="E324" s="2" t="str">
        <x:v>XNAS</x:v>
      </x:c>
      <x:c r="F324" s="2" t="str">
        <x:v>USD</x:v>
      </x:c>
      <x:c r="G324" s="17" t="n">
        <x:f>H307</x:f>
        <x:v>245.83</x:v>
      </x:c>
      <x:c r="H324" s="34" t="n">
        <x:v>253.5</x:v>
      </x:c>
      <x:c r="I324" s="34" t="n">
        <x:v>239.19</x:v>
      </x:c>
      <x:c r="J324" s="8" t="n">
        <x:v>46322</x:v>
      </x:c>
      <x:c r="K324" s="2" t="str">
        <x:v>Open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10" t="str">
        <x:v>6383.T</x:v>
      </x:c>
      <x:c r="E325" s="10" t="str">
        <x:v>XJPX</x:v>
      </x:c>
      <x:c r="F325" s="10" t="str">
        <x:v>JPY</x:v>
      </x:c>
      <x:c r="G325" s="33" t="n">
        <x:f>H308</x:f>
        <x:v>5137</x:v>
      </x:c>
      <x:c r="H325" s="35" t="n">
        <x:v>5216</x:v>
      </x:c>
      <x:c r="I325" s="35" t="n">
        <x:v>5832</x:v>
      </x:c>
      <x:c r="J325" s="9" t="n">
        <x:v>46322</x:v>
      </x:c>
      <x:c r="K325" s="10" t="str">
        <x:v>Open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2" t="str">
        <x:v>HEXA-B.ST</x:v>
      </x:c>
      <x:c r="E326" s="2" t="str">
        <x:v>XSTO</x:v>
      </x:c>
      <x:c r="F326" s="2" t="str">
        <x:v>SEK</x:v>
      </x:c>
      <x:c r="G326" s="17" t="n">
        <x:f>H309</x:f>
        <x:v>109.45</x:v>
      </x:c>
      <x:c r="H326" s="34" t="n">
        <x:v>109.65</x:v>
      </x:c>
      <x:c r="I326" s="34" t="n">
        <x:v>99.02</x:v>
      </x:c>
      <x:c r="J326" s="8" t="n">
        <x:v>46322</x:v>
      </x:c>
      <x:c r="K326" s="2" t="str">
        <x:v>Open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10" t="str">
        <x:v>GSPC.INDX</x:v>
      </x:c>
      <x:c r="E327" s="10" t="str">
        <x:v>INDX</x:v>
      </x:c>
      <x:c r="F327" s="10" t="str">
        <x:v>USD</x:v>
      </x:c>
      <x:c r="G327" s="33" t="n">
        <x:f>H310</x:f>
        <x:v>7676.77</x:v>
      </x:c>
      <x:c r="H327" s="35" t="n">
        <x:v>7722.6</x:v>
      </x:c>
      <x:c r="I327" s="35" t="n">
        <x:v>7666.45</x:v>
      </x:c>
      <x:c r="J327" s="9" t="n">
        <x:v>46322</x:v>
      </x:c>
      <x:c r="K327" s="10" t="str">
        <x:v>Open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2" t="str">
        <x:v>IXIC.INDX</x:v>
      </x:c>
      <x:c r="E328" s="2" t="str">
        <x:v>INDX</x:v>
      </x:c>
      <x:c r="F328" s="2" t="str">
        <x:v>USD</x:v>
      </x:c>
      <x:c r="G328" s="17" t="n">
        <x:f>H311</x:f>
        <x:v>26169.3809</x:v>
      </x:c>
      <x:c r="H328" s="34" t="n">
        <x:v>26477.8105</x:v>
      </x:c>
      <x:c r="I328" s="34" t="n">
        <x:v>26871.5957</x:v>
      </x:c>
      <x:c r="J328" s="8" t="n">
        <x:v>46322</x:v>
      </x:c>
      <x:c r="K328" s="2" t="str">
        <x:v>Open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10" t="str">
        <x:v>6954.T</x:v>
      </x:c>
      <x:c r="E329" s="10" t="str">
        <x:v>XJPX</x:v>
      </x:c>
      <x:c r="F329" s="10" t="str">
        <x:v>JPY</x:v>
      </x:c>
      <x:c r="G329" s="33" t="n">
        <x:f>H312</x:f>
        <x:v>5820</x:v>
      </x:c>
      <x:c r="H329" s="35" t="n">
        <x:v>5908</x:v>
      </x:c>
      <x:c r="I329" s="35" t="n">
        <x:v>6127</x:v>
      </x:c>
      <x:c r="J329" s="9" t="n">
        <x:v>46323</x:v>
      </x:c>
      <x:c r="K329" s="10" t="str">
        <x:v>Open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2" t="str">
        <x:v>6506.T</x:v>
      </x:c>
      <x:c r="E330" s="2" t="str">
        <x:v>XJPX</x:v>
      </x:c>
      <x:c r="F330" s="2" t="str">
        <x:v>JPY</x:v>
      </x:c>
      <x:c r="G330" s="17" t="n">
        <x:f>H313</x:f>
        <x:v>4090</x:v>
      </x:c>
      <x:c r="H330" s="34" t="n">
        <x:v>4186</x:v>
      </x:c>
      <x:c r="I330" s="34" t="n">
        <x:v>4779</x:v>
      </x:c>
      <x:c r="J330" s="8" t="n">
        <x:v>46323</x:v>
      </x:c>
      <x:c r="K330" s="2" t="str">
        <x:v>Open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10" t="str">
        <x:v>002747.SZ</x:v>
      </x:c>
      <x:c r="E331" s="10" t="str">
        <x:v>XSHE</x:v>
      </x:c>
      <x:c r="F331" s="10" t="str">
        <x:v>CNY</x:v>
      </x:c>
      <x:c r="G331" s="33" t="n">
        <x:f>H314</x:f>
        <x:v>28.45</x:v>
      </x:c>
      <x:c r="H331" s="35" t="n">
        <x:v>30.14</x:v>
      </x:c>
      <x:c r="I331" s="35" t="n">
        <x:v>28.22</x:v>
      </x:c>
      <x:c r="J331" s="9" t="n">
        <x:v>46323</x:v>
      </x:c>
      <x:c r="K331" s="10" t="str">
        <x:v>Open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2" t="str">
        <x:v>TER</x:v>
      </x:c>
      <x:c r="E332" s="2" t="str">
        <x:v>XNAS</x:v>
      </x:c>
      <x:c r="F332" s="2" t="str">
        <x:v>USD</x:v>
      </x:c>
      <x:c r="G332" s="17" t="n">
        <x:f>H315</x:f>
        <x:v>323.68</x:v>
      </x:c>
      <x:c r="H332" s="34" t="n">
        <x:v>313.24</x:v>
      </x:c>
      <x:c r="I332" s="34" t="n">
        <x:v>415.79</x:v>
      </x:c>
      <x:c r="J332" s="8" t="n">
        <x:v>46323</x:v>
      </x:c>
      <x:c r="K332" s="2" t="str">
        <x:v>Open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10" t="str">
        <x:v>6268.T</x:v>
      </x:c>
      <x:c r="E333" s="10" t="str">
        <x:v>XJPX</x:v>
      </x:c>
      <x:c r="F333" s="10" t="str">
        <x:v>JPY</x:v>
      </x:c>
      <x:c r="G333" s="33" t="n">
        <x:f>H316</x:f>
        <x:v>4285</x:v>
      </x:c>
      <x:c r="H333" s="35" t="n">
        <x:v>4420</x:v>
      </x:c>
      <x:c r="I333" s="35" t="n">
        <x:v>4975</x:v>
      </x:c>
      <x:c r="J333" s="9" t="n">
        <x:v>46323</x:v>
      </x:c>
      <x:c r="K333" s="10" t="str">
        <x:v>Open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2" t="str">
        <x:v>300124.SZ</x:v>
      </x:c>
      <x:c r="E334" s="2" t="str">
        <x:v>XSHE</x:v>
      </x:c>
      <x:c r="F334" s="2" t="str">
        <x:v>CNY</x:v>
      </x:c>
      <x:c r="G334" s="17" t="n">
        <x:f>H317</x:f>
        <x:v>53.31</x:v>
      </x:c>
      <x:c r="H334" s="34" t="n">
        <x:v>56.16</x:v>
      </x:c>
      <x:c r="I334" s="34" t="n">
        <x:v>51.9</x:v>
      </x:c>
      <x:c r="J334" s="8" t="n">
        <x:v>46323</x:v>
      </x:c>
      <x:c r="K334" s="2" t="str">
        <x:v>Open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10" t="str">
        <x:v>6861.T</x:v>
      </x:c>
      <x:c r="E335" s="10" t="str">
        <x:v>XJPX</x:v>
      </x:c>
      <x:c r="F335" s="10" t="str">
        <x:v>JPY</x:v>
      </x:c>
      <x:c r="G335" s="33" t="n">
        <x:f>H318</x:f>
        <x:v>79080</x:v>
      </x:c>
      <x:c r="H335" s="35" t="n">
        <x:v>79190</x:v>
      </x:c>
      <x:c r="I335" s="35" t="n">
        <x:v>81200</x:v>
      </x:c>
      <x:c r="J335" s="9" t="n">
        <x:v>46323</x:v>
      </x:c>
      <x:c r="K335" s="10" t="str">
        <x:v>Open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2" t="str">
        <x:v>CGNX</x:v>
      </x:c>
      <x:c r="E336" s="2" t="str">
        <x:v>XNAS</x:v>
      </x:c>
      <x:c r="F336" s="2" t="str">
        <x:v>USD</x:v>
      </x:c>
      <x:c r="G336" s="17" t="n">
        <x:f>H319</x:f>
        <x:v>58.22</x:v>
      </x:c>
      <x:c r="H336" s="34" t="n">
        <x:v>58.43</x:v>
      </x:c>
      <x:c r="I336" s="34" t="n">
        <x:v>62.22</x:v>
      </x:c>
      <x:c r="J336" s="8" t="n">
        <x:v>46323</x:v>
      </x:c>
      <x:c r="K336" s="2" t="str">
        <x:v>Open</x:v>
      </x:c>
    </x:row>
    <x:row r="337" ht="27" customHeight="1">
      <x:c r="A337" s="9" t="n">
        <x:v>46323</x:v>
      </x:c>
      <x:c r="B337" s="10" t="str">
        <x:v>Ouster</x:v>
      </x:c>
      <x:c r="C337" s="10" t="str">
        <x:v>OUST</x:v>
      </x:c>
      <x:c r="D337" s="10" t="str">
        <x:v>OUST</x:v>
      </x:c>
      <x:c r="E337" s="10" t="str">
        <x:v>XNAS</x:v>
      </x:c>
      <x:c r="F337" s="10" t="str">
        <x:v>USD</x:v>
      </x:c>
      <x:c r="G337" s="33" t="n">
        <x:f>H320</x:f>
        <x:v>32.79</x:v>
      </x:c>
      <x:c r="H337" s="35" t="n">
        <x:v>33.61</x:v>
      </x:c>
      <x:c r="I337" s="35" t="n">
        <x:v>40.87</x:v>
      </x:c>
      <x:c r="J337" s="9" t="n">
        <x:v>46323</x:v>
      </x:c>
      <x:c r="K337" s="10" t="str">
        <x:v>Open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2" t="str">
        <x:v>HSAI</x:v>
      </x:c>
      <x:c r="E338" s="2" t="str">
        <x:v>XNAS</x:v>
      </x:c>
      <x:c r="F338" s="2" t="str">
        <x:v>USD</x:v>
      </x:c>
      <x:c r="G338" s="17" t="n">
        <x:f>H321</x:f>
        <x:v>13.35</x:v>
      </x:c>
      <x:c r="H338" s="34" t="n">
        <x:v>13.83</x:v>
      </x:c>
      <x:c r="I338" s="34" t="n">
        <x:v>15.93</x:v>
      </x:c>
      <x:c r="J338" s="8" t="n">
        <x:v>46323</x:v>
      </x:c>
      <x:c r="K338" s="2" t="str">
        <x:v>Open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10" t="str">
        <x:v>ROK</x:v>
      </x:c>
      <x:c r="E339" s="10" t="str">
        <x:v>XNYS</x:v>
      </x:c>
      <x:c r="F339" s="10" t="str">
        <x:v>USD</x:v>
      </x:c>
      <x:c r="G339" s="33" t="n">
        <x:f>H322</x:f>
        <x:v>439.2</x:v>
      </x:c>
      <x:c r="H339" s="35" t="n">
        <x:v>443.81</x:v>
      </x:c>
      <x:c r="I339" s="35" t="n">
        <x:v>442.45</x:v>
      </x:c>
      <x:c r="J339" s="9" t="n">
        <x:v>46323</x:v>
      </x:c>
      <x:c r="K339" s="10" t="str">
        <x:v>Open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2" t="str">
        <x:v>SIE.DE</x:v>
      </x:c>
      <x:c r="E340" s="2" t="str">
        <x:v>XETR</x:v>
      </x:c>
      <x:c r="F340" s="2" t="str">
        <x:v>EUR</x:v>
      </x:c>
      <x:c r="G340" s="17" t="n">
        <x:f>H323</x:f>
        <x:v>266.2</x:v>
      </x:c>
      <x:c r="H340" s="34" t="n">
        <x:v>270.05</x:v>
      </x:c>
      <x:c r="I340" s="34" t="n">
        <x:v>271.9</x:v>
      </x:c>
      <x:c r="J340" s="8" t="n">
        <x:v>46323</x:v>
      </x:c>
      <x:c r="K340" s="2" t="str">
        <x:v>Open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10" t="str">
        <x:v>NXPI</x:v>
      </x:c>
      <x:c r="E341" s="10" t="str">
        <x:v>XNAS</x:v>
      </x:c>
      <x:c r="F341" s="10" t="str">
        <x:v>USD</x:v>
      </x:c>
      <x:c r="G341" s="33" t="n">
        <x:f>H324</x:f>
        <x:v>253.5</x:v>
      </x:c>
      <x:c r="H341" s="35" t="n">
        <x:v>251.69</x:v>
      </x:c>
      <x:c r="I341" s="35" t="n">
        <x:v>239.19</x:v>
      </x:c>
      <x:c r="J341" s="9" t="n">
        <x:v>46323</x:v>
      </x:c>
      <x:c r="K341" s="10" t="str">
        <x:v>Open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2" t="str">
        <x:v>6383.T</x:v>
      </x:c>
      <x:c r="E342" s="2" t="str">
        <x:v>XJPX</x:v>
      </x:c>
      <x:c r="F342" s="2" t="str">
        <x:v>JPY</x:v>
      </x:c>
      <x:c r="G342" s="17" t="n">
        <x:f>H325</x:f>
        <x:v>5216</x:v>
      </x:c>
      <x:c r="H342" s="34" t="n">
        <x:v>5441</x:v>
      </x:c>
      <x:c r="I342" s="34" t="n">
        <x:v>5832</x:v>
      </x:c>
      <x:c r="J342" s="8" t="n">
        <x:v>46323</x:v>
      </x:c>
      <x:c r="K342" s="2" t="str">
        <x:v>Open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10" t="str">
        <x:v>HEXA-B.ST</x:v>
      </x:c>
      <x:c r="E343" s="10" t="str">
        <x:v>XSTO</x:v>
      </x:c>
      <x:c r="F343" s="10" t="str">
        <x:v>SEK</x:v>
      </x:c>
      <x:c r="G343" s="33" t="n">
        <x:f>H326</x:f>
        <x:v>109.65</x:v>
      </x:c>
      <x:c r="H343" s="35" t="n">
        <x:v>109.45</x:v>
      </x:c>
      <x:c r="I343" s="35" t="n">
        <x:v>99.02</x:v>
      </x:c>
      <x:c r="J343" s="9" t="n">
        <x:v>46323</x:v>
      </x:c>
      <x:c r="K343" s="10" t="str">
        <x:v>Open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2" t="str">
        <x:v>GSPC.INDX</x:v>
      </x:c>
      <x:c r="E344" s="2" t="str">
        <x:v>INDX</x:v>
      </x:c>
      <x:c r="F344" s="2" t="str">
        <x:v>USD</x:v>
      </x:c>
      <x:c r="G344" s="17" t="n">
        <x:f>H327</x:f>
        <x:v>7722.6</x:v>
      </x:c>
      <x:c r="H344" s="34" t="n">
        <x:v>7743.98</x:v>
      </x:c>
      <x:c r="I344" s="34" t="n">
        <x:v>7666.45</x:v>
      </x:c>
      <x:c r="J344" s="8" t="n">
        <x:v>46323</x:v>
      </x:c>
      <x:c r="K344" s="2" t="str">
        <x:v>Open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10" t="str">
        <x:v>IXIC.INDX</x:v>
      </x:c>
      <x:c r="E345" s="10" t="str">
        <x:v>INDX</x:v>
      </x:c>
      <x:c r="F345" s="10" t="str">
        <x:v>USD</x:v>
      </x:c>
      <x:c r="G345" s="33" t="n">
        <x:f>H328</x:f>
        <x:v>26477.8105</x:v>
      </x:c>
      <x:c r="H345" s="35" t="n">
        <x:v>26549.8516</x:v>
      </x:c>
      <x:c r="I345" s="35" t="n">
        <x:v>26871.5957</x:v>
      </x:c>
      <x:c r="J345" s="9" t="n">
        <x:v>46323</x:v>
      </x:c>
      <x:c r="K345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e707c100ef7340a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  <x:row r="261" ht="27" customHeight="1">
      <x:c r="A261" s="9" t="n">
        <x:v>46321</x:v>
      </x:c>
      <x:c r="B261" s="10" t="str">
        <x:v>FANUC</x:v>
      </x:c>
      <x:c r="C261" s="10" t="str">
        <x:v>6954</x:v>
      </x:c>
      <x:c r="D261" s="21" t="n">
        <x:f>G246</x:f>
        <x:v>0.06680459222621804</x:v>
      </x:c>
      <x:c r="E261" s="23" t="n">
        <x:f>'Prices'!H295/'Prices'!G295-1</x:f>
        <x:v>0.009307320565598687</x:v>
      </x:c>
      <x:c r="F261" s="21" t="n">
        <x:f>D261*E261</x:f>
        <x:v>0.0006217717551035134</x:v>
      </x:c>
      <x:c r="G261" s="21" t="n">
        <x:f>D261*(1+E261)/(1+SUM($F$261:$F$275))</x:f>
        <x:v>0.06642293178139909</x:v>
      </x:c>
      <x:c r="H261" s="23" t="n">
        <x:f>'Prices'!H295/'Prices'!I295-1</x:f>
        <x:v>-0.07964746205320716</x:v>
      </x:c>
    </x:row>
    <x:row r="262" ht="27" customHeight="1">
      <x:c r="A262" s="8" t="n">
        <x:v>46321</x:v>
      </x:c>
      <x:c r="B262" s="2" t="str">
        <x:v>Yaskawa Electric</x:v>
      </x:c>
      <x:c r="C262" s="2" t="str">
        <x:v>6506</x:v>
      </x:c>
      <x:c r="D262" s="20" t="n">
        <x:f>G247</x:f>
        <x:v>0.06165674053163025</x:v>
      </x:c>
      <x:c r="E262" s="22" t="n">
        <x:f>'Prices'!H296/'Prices'!G296-1</x:f>
        <x:v>-0.01044256588761805</x:v>
      </x:c>
      <x:c r="F262" s="20" t="n">
        <x:f>D262*E262</x:f>
        <x:v>-0.0006438545754173192</x:v>
      </x:c>
      <x:c r="G262" s="20" t="n">
        <x:f>D262*(1+E262)/(1+SUM($F$261:$F$275))</x:f>
        <x:v>0.06010489847529789</x:v>
      </x:c>
      <x:c r="H262" s="22" t="n">
        <x:f>'Prices'!H296/'Prices'!I296-1</x:f>
        <x:v>-0.16718978865871525</x:v>
      </x:c>
    </x:row>
    <x:row r="263" ht="27" customHeight="1">
      <x:c r="A263" s="9" t="n">
        <x:v>46321</x:v>
      </x:c>
      <x:c r="B263" s="10" t="str">
        <x:v>Estun Automation</x:v>
      </x:c>
      <x:c r="C263" s="15" t="str">
        <x:v>002747</x:v>
      </x:c>
      <x:c r="D263" s="21" t="n">
        <x:f>G248</x:f>
        <x:v>0.07575369211680971</x:v>
      </x:c>
      <x:c r="E263" s="23" t="n">
        <x:f>'Prices'!H297/'Prices'!G297-1</x:f>
        <x:v>0.04832076764907467</x:v>
      </x:c>
      <x:c r="F263" s="21" t="n">
        <x:f>D263*E263</x:f>
        <x:v>0.0036604765553359016</x:v>
      </x:c>
      <x:c r="G263" s="21" t="n">
        <x:f>D263*(1+E263)/(1+SUM($F$261:$F$275))</x:f>
        <x:v>0.07823233519825727</x:v>
      </x:c>
      <x:c r="H263" s="23" t="n">
        <x:f>'Prices'!H297/'Prices'!I297-1</x:f>
        <x:v>0.08398299078667626</x:v>
      </x:c>
    </x:row>
    <x:row r="264" ht="27" customHeight="1">
      <x:c r="A264" s="8" t="n">
        <x:v>46321</x:v>
      </x:c>
      <x:c r="B264" s="2" t="str">
        <x:v>Teradyne</x:v>
      </x:c>
      <x:c r="C264" s="2" t="str">
        <x:v>TER</x:v>
      </x:c>
      <x:c r="D264" s="20" t="n">
        <x:f>G249</x:f>
        <x:v>0.05441881643358777</x:v>
      </x:c>
      <x:c r="E264" s="22" t="n">
        <x:f>'Prices'!H298/'Prices'!G298-1</x:f>
        <x:v>0.00048567265662935455</x:v>
      </x:c>
      <x:c r="F264" s="20" t="n">
        <x:f>D264*E264</x:f>
        <x:v>0.00002642973114792575</x:v>
      </x:c>
      <x:c r="G264" s="20" t="n">
        <x:f>D264*(1+E264)/(1+SUM($F$261:$F$275))</x:f>
        <x:v>0.05363499762234752</x:v>
      </x:c>
      <x:c r="H264" s="22" t="n">
        <x:f>'Prices'!H298/'Prices'!I298-1</x:f>
        <x:v>-0.25683638375141304</x:v>
      </x:c>
    </x:row>
    <x:row r="265" ht="27" customHeight="1">
      <x:c r="A265" s="9" t="n">
        <x:v>46321</x:v>
      </x:c>
      <x:c r="B265" s="10" t="str">
        <x:v>Nabtesco</x:v>
      </x:c>
      <x:c r="C265" s="10" t="str">
        <x:v>6268</x:v>
      </x:c>
      <x:c r="D265" s="21" t="n">
        <x:f>G250</x:f>
        <x:v>0.060641339189069256</x:v>
      </x:c>
      <x:c r="E265" s="23" t="n">
        <x:f>'Prices'!H299/'Prices'!G299-1</x:f>
        <x:v>0.005342399222923788</x:v>
      </x:c>
      <x:c r="F265" s="21" t="n">
        <x:f>D265*E265</x:f>
        <x:v>0.0003239702433607415</x:v>
      </x:c>
      <x:c r="G265" s="21" t="n">
        <x:f>D265*(1+E265)/(1+SUM($F$261:$F$275))</x:f>
        <x:v>0.060058029980438736</x:v>
      </x:c>
      <x:c r="H265" s="23" t="n">
        <x:f>'Prices'!H299/'Prices'!I299-1</x:f>
        <x:v>-0.1678391959798995</x:v>
      </x:c>
    </x:row>
    <x:row r="266" ht="27" customHeight="1">
      <x:c r="A266" s="8" t="n">
        <x:v>46321</x:v>
      </x:c>
      <x:c r="B266" s="2" t="str">
        <x:v>Inovance</x:v>
      </x:c>
      <x:c r="C266" s="2" t="str">
        <x:v>300124</x:v>
      </x:c>
      <x:c r="D266" s="20" t="n">
        <x:f>G251</x:f>
        <x:v>0.07551999465624695</x:v>
      </x:c>
      <x:c r="E266" s="22" t="n">
        <x:f>'Prices'!H300/'Prices'!G300-1</x:f>
        <x:v>0.032710280373831724</x:v>
      </x:c>
      <x:c r="F266" s="20" t="n">
        <x:f>D266*E266</x:f>
        <x:v>0.0024702801990361114</x:v>
      </x:c>
      <x:c r="G266" s="20" t="n">
        <x:f>D266*(1+E266)/(1+SUM($F$261:$F$275))</x:f>
        <x:v>0.07682963162243318</x:v>
      </x:c>
      <x:c r="H266" s="22" t="n">
        <x:f>'Prices'!H300/'Prices'!I300-1</x:f>
        <x:v>0.06454720616570331</x:v>
      </x:c>
    </x:row>
    <x:row r="267" ht="27" customHeight="1">
      <x:c r="A267" s="9" t="n">
        <x:v>46321</x:v>
      </x:c>
      <x:c r="B267" s="10" t="str">
        <x:v>Keyence</x:v>
      </x:c>
      <x:c r="C267" s="10" t="str">
        <x:v>6861</x:v>
      </x:c>
      <x:c r="D267" s="21" t="n">
        <x:f>G252</x:f>
        <x:v>0.07071715107546364</x:v>
      </x:c>
      <x:c r="E267" s="23" t="n">
        <x:f>'Prices'!H301/'Prices'!G301-1</x:f>
        <x:v>-0.014161775963255963</x:v>
      </x:c>
      <x:c r="F267" s="21" t="n">
        <x:f>D267*E267</x:f>
        <x:v>-0.0010014804502904416</x:v>
      </x:c>
      <x:c r="G267" s="21" t="n">
        <x:f>D267*(1+E267)/(1+SUM($F$261:$F$275))</x:f>
        <x:v>0.06867816919970902</x:v>
      </x:c>
      <x:c r="H267" s="23" t="n">
        <x:f>'Prices'!H301/'Prices'!I301-1</x:f>
        <x:v>-0.04839901477832509</x:v>
      </x:c>
    </x:row>
    <x:row r="268" ht="27" customHeight="1">
      <x:c r="A268" s="8" t="n">
        <x:v>46321</x:v>
      </x:c>
      <x:c r="B268" s="2" t="str">
        <x:v>Cognex</x:v>
      </x:c>
      <x:c r="C268" s="2" t="str">
        <x:v>CGNX</x:v>
      </x:c>
      <x:c r="D268" s="20" t="n">
        <x:f>G253</x:f>
        <x:v>0.06540780618478274</x:v>
      </x:c>
      <x:c r="E268" s="22" t="n">
        <x:f>'Prices'!H302/'Prices'!G302-1</x:f>
        <x:v>0.001440144014401623</x:v>
      </x:c>
      <x:c r="F268" s="20" t="n">
        <x:f>D268*E268</x:f>
        <x:v>0.00009419666057215633</x:v>
      </x:c>
      <x:c r="G268" s="20" t="n">
        <x:f>D268*(1+E268)/(1+SUM($F$261:$F$275))</x:f>
        <x:v>0.06452720878953648</x:v>
      </x:c>
      <x:c r="H268" s="22" t="n">
        <x:f>'Prices'!H302/'Prices'!I302-1</x:f>
        <x:v>-0.10591449694631949</x:v>
      </x:c>
    </x:row>
    <x:row r="269" ht="27" customHeight="1">
      <x:c r="A269" s="9" t="n">
        <x:v>46321</x:v>
      </x:c>
      <x:c r="B269" s="10" t="str">
        <x:v>Ouster</x:v>
      </x:c>
      <x:c r="C269" s="10" t="str">
        <x:v>OUST</x:v>
      </x:c>
      <x:c r="D269" s="21" t="n">
        <x:f>G254</x:f>
        <x:v>0.053220761743184845</x:v>
      </x:c>
      <x:c r="E269" s="23" t="n">
        <x:f>'Prices'!H303/'Prices'!G303-1</x:f>
        <x:v>0.000673627484001349</x:v>
      </x:c>
      <x:c r="F269" s="21" t="n">
        <x:f>D269*E269</x:f>
        <x:v>0.000035850967829696855</x:v>
      </x:c>
      <x:c r="G269" s="21" t="n">
        <x:f>D269*(1+E269)/(1+SUM($F$261:$F$275))</x:f>
        <x:v>0.052464053289186074</x:v>
      </x:c>
      <x:c r="H269" s="23" t="n">
        <x:f>'Prices'!H303/'Prices'!I303-1</x:f>
        <x:v>-0.27306092488377776</x:v>
      </x:c>
    </x:row>
    <x:row r="270" ht="27" customHeight="1">
      <x:c r="A270" s="8" t="n">
        <x:v>46321</x:v>
      </x:c>
      <x:c r="B270" s="2" t="str">
        <x:v>Hesai</x:v>
      </x:c>
      <x:c r="C270" s="2" t="str">
        <x:v>HSAI</x:v>
      </x:c>
      <x:c r="D270" s="20" t="n">
        <x:f>G255</x:f>
        <x:v>0.0603843612516389</x:v>
      </x:c>
      <x:c r="E270" s="22" t="n">
        <x:f>'Prices'!H304/'Prices'!G304-1</x:f>
        <x:v>0.04265041888804255</x:v>
      </x:c>
      <x:c r="F270" s="20" t="n">
        <x:f>D270*E270</x:f>
        <x:v>0.0025754183016692845</x:v>
      </x:c>
      <x:c r="G270" s="20" t="n">
        <x:f>D270*(1+E270)/(1+SUM($F$261:$F$275))</x:f>
        <x:v>0.062022818602524746</x:v>
      </x:c>
      <x:c r="H270" s="22" t="n">
        <x:f>'Prices'!H304/'Prices'!I304-1</x:f>
        <x:v>-0.14061519146264911</x:v>
      </x:c>
    </x:row>
    <x:row r="271" ht="27" customHeight="1">
      <x:c r="A271" s="9" t="n">
        <x:v>46321</x:v>
      </x:c>
      <x:c r="B271" s="10" t="str">
        <x:v>Rockwell Automation</x:v>
      </x:c>
      <x:c r="C271" s="10" t="str">
        <x:v>ROK</x:v>
      </x:c>
      <x:c r="D271" s="21" t="n">
        <x:f>G256</x:f>
        <x:v>0.07055585407516626</x:v>
      </x:c>
      <x:c r="E271" s="23" t="n">
        <x:f>'Prices'!H305/'Prices'!G305-1</x:f>
        <x:v>0.008870948816033453</x:v>
      </x:c>
      <x:c r="F271" s="21" t="n">
        <x:f>D271*E271</x:f>
        <x:v>0.0006258973701723252</x:v>
      </x:c>
      <x:c r="G271" s="21" t="n">
        <x:f>D271*(1+E271)/(1+SUM($F$261:$F$275))</x:f>
        <x:v>0.07012243195620053</x:v>
      </x:c>
      <x:c r="H271" s="23" t="n">
        <x:f>'Prices'!H305/'Prices'!I305-1</x:f>
        <x:v>-0.028387388405469505</x:v>
      </x:c>
    </x:row>
    <x:row r="272" ht="27" customHeight="1">
      <x:c r="A272" s="8" t="n">
        <x:v>46321</x:v>
      </x:c>
      <x:c r="B272" s="2" t="str">
        <x:v>Siemens</x:v>
      </x:c>
      <x:c r="C272" s="2" t="str">
        <x:v>SIE</x:v>
      </x:c>
      <x:c r="D272" s="20" t="n">
        <x:f>G257</x:f>
        <x:v>0.06919286895463123</x:v>
      </x:c>
      <x:c r="E272" s="22" t="n">
        <x:f>'Prices'!H306/'Prices'!G306-1</x:f>
        <x:v>0.01791277258566959</x:v>
      </x:c>
      <x:c r="F272" s="20" t="n">
        <x:f>D272*E272</x:f>
        <x:v>0.0012394361261343467</x:v>
      </x:c>
      <x:c r="G272" s="20" t="n">
        <x:f>D272*(1+E272)/(1+SUM($F$261:$F$275))</x:f>
        <x:v>0.06938413877518841</x:v>
      </x:c>
      <x:c r="H272" s="22" t="n">
        <x:f>'Prices'!H306/'Prices'!I306-1</x:f>
        <x:v>-0.038617138653916916</x:v>
      </x:c>
    </x:row>
    <x:row r="273" ht="27" customHeight="1">
      <x:c r="A273" s="9" t="n">
        <x:v>46321</x:v>
      </x:c>
      <x:c r="B273" s="10" t="str">
        <x:v>NXP Semiconductors</x:v>
      </x:c>
      <x:c r="C273" s="10" t="str">
        <x:v>NXPI</x:v>
      </x:c>
      <x:c r="D273" s="21" t="n">
        <x:f>G258</x:f>
        <x:v>0.07195359539435489</x:v>
      </x:c>
      <x:c r="E273" s="23" t="n">
        <x:f>'Prices'!H307/'Prices'!G307-1</x:f>
        <x:v>0.046441341733356234</x:v>
      </x:c>
      <x:c r="F273" s="21" t="n">
        <x:f>D273*E273</x:f>
        <x:v>0.0033416215126528827</x:v>
      </x:c>
      <x:c r="G273" s="21" t="n">
        <x:f>D273*(1+E273)/(1+SUM($F$261:$F$275))</x:f>
        <x:v>0.07417468124879598</x:v>
      </x:c>
      <x:c r="H273" s="23" t="n">
        <x:f>'Prices'!H307/'Prices'!I307-1</x:f>
        <x:v>0.027760357874493158</x:v>
      </x:c>
    </x:row>
    <x:row r="274" ht="27" customHeight="1">
      <x:c r="A274" s="8" t="n">
        <x:v>46321</x:v>
      </x:c>
      <x:c r="B274" s="2" t="str">
        <x:v>Daifuku</x:v>
      </x:c>
      <x:c r="C274" s="2" t="str">
        <x:v>6383</x:v>
      </x:c>
      <x:c r="D274" s="20" t="n">
        <x:f>G259</x:f>
        <x:v>0.06530972100465764</x:v>
      </x:c>
      <x:c r="E274" s="22" t="n">
        <x:f>'Prices'!H308/'Prices'!G308-1</x:f>
        <x:v>-0.011925370263512258</x:v>
      </x:c>
      <x:c r="F274" s="20" t="n">
        <x:f>D274*E274</x:f>
        <x:v>-0.0007788426047872261</x:v>
      </x:c>
      <x:c r="G274" s="20" t="n">
        <x:f>D274*(1+E274)/(1+SUM($F$261:$F$275))</x:f>
        <x:v>0.06357053651796724</x:v>
      </x:c>
      <x:c r="H274" s="22" t="n">
        <x:f>'Prices'!H308/'Prices'!I308-1</x:f>
        <x:v>-0.11917009602194784</x:v>
      </x:c>
    </x:row>
    <x:row r="275" ht="27" customHeight="1">
      <x:c r="A275" s="9" t="n">
        <x:v>46321</x:v>
      </x:c>
      <x:c r="B275" s="10" t="str">
        <x:v>Hexagon</x:v>
      </x:c>
      <x:c r="C275" s="10" t="str">
        <x:v>HEXA B</x:v>
      </x:c>
      <x:c r="D275" s="21" t="n">
        <x:f>G260</x:f>
        <x:v>0.07846270516255746</x:v>
      </x:c>
      <x:c r="E275" s="23" t="n">
        <x:f>'Prices'!H309/'Prices'!G309-1</x:f>
        <x:v>0.03206034889203213</x:v>
      </x:c>
      <x:c r="F275" s="21" t="n">
        <x:f>D275*E275</x:f>
        <x:v>0.002515541702524243</x:v>
      </x:c>
      <x:c r="G275" s="21" t="n">
        <x:f>D275*(1+E275)/(1+SUM($F$261:$F$275))</x:f>
        <x:v>0.07977313694071736</x:v>
      </x:c>
      <x:c r="H275" s="23" t="n">
        <x:f>'Prices'!H309/'Prices'!I309-1</x:f>
        <x:v>0.10533225610987684</x:v>
      </x:c>
    </x:row>
    <x:row r="276" ht="27" customHeight="1">
      <x:c r="A276" s="8" t="n">
        <x:v>46322</x:v>
      </x:c>
      <x:c r="B276" s="2" t="str">
        <x:v>FANUC</x:v>
      </x:c>
      <x:c r="C276" s="2" t="str">
        <x:v>6954</x:v>
      </x:c>
      <x:c r="D276" s="20" t="n">
        <x:f>G261</x:f>
        <x:v>0.06642293178139909</x:v>
      </x:c>
      <x:c r="E276" s="22" t="n">
        <x:f>'Prices'!H312/'Prices'!G312-1</x:f>
        <x:v>0.032097889696754756</x:v>
      </x:c>
      <x:c r="F276" s="20" t="n">
        <x:f>D276*E276</x:f>
        <x:v>0.0021320359376544138</x:v>
      </x:c>
      <x:c r="G276" s="20" t="n">
        <x:f>D276*(1+E276)/(1+SUM($F$276:$F$290))</x:f>
        <x:v>0.06754077550576866</x:v>
      </x:c>
      <x:c r="H276" s="22" t="n">
        <x:f>'Prices'!H312/'Prices'!I312-1</x:f>
        <x:v>-0.050106087808062694</x:v>
      </x:c>
    </x:row>
    <x:row r="277" ht="27" customHeight="1">
      <x:c r="A277" s="9" t="n">
        <x:v>46322</x:v>
      </x:c>
      <x:c r="B277" s="10" t="str">
        <x:v>Yaskawa Electric</x:v>
      </x:c>
      <x:c r="C277" s="10" t="str">
        <x:v>6506</x:v>
      </x:c>
      <x:c r="D277" s="21" t="n">
        <x:f>G262</x:f>
        <x:v>0.06010489847529789</x:v>
      </x:c>
      <x:c r="E277" s="23" t="n">
        <x:f>'Prices'!H313/'Prices'!G313-1</x:f>
        <x:v>0.027638190954773822</x:v>
      </x:c>
      <x:c r="F277" s="21" t="n">
        <x:f>D277*E277</x:f>
        <x:v>0.001661190661377577</x:v>
      </x:c>
      <x:c r="G277" s="21" t="n">
        <x:f>D277*(1+E277)/(1+SUM($F$276:$F$290))</x:f>
        <x:v>0.060852330604920464</x:v>
      </x:c>
      <x:c r="H277" s="23" t="n">
        <x:f>'Prices'!H313/'Prices'!I313-1</x:f>
        <x:v>-0.1441724210085792</x:v>
      </x:c>
    </x:row>
    <x:row r="278" ht="27" customHeight="1">
      <x:c r="A278" s="8" t="n">
        <x:v>46322</x:v>
      </x:c>
      <x:c r="B278" s="2" t="str">
        <x:v>Estun Automation</x:v>
      </x:c>
      <x:c r="C278" s="13" t="str">
        <x:v>002747</x:v>
      </x:c>
      <x:c r="D278" s="20" t="n">
        <x:f>G263</x:f>
        <x:v>0.07823233519825727</x:v>
      </x:c>
      <x:c r="E278" s="22" t="n">
        <x:f>'Prices'!H314/'Prices'!G314-1</x:f>
        <x:v>-0.06995750245178167</x:v>
      </x:c>
      <x:c r="F278" s="20" t="n">
        <x:f>D278*E278</x:f>
        <x:v>-0.005472938781440688</x:v>
      </x:c>
      <x:c r="G278" s="20" t="n">
        <x:f>D278*(1+E278)/(1+SUM($F$276:$F$290))</x:f>
        <x:v>0.07168300449739144</x:v>
      </x:c>
      <x:c r="H278" s="22" t="n">
        <x:f>'Prices'!H314/'Prices'!I314-1</x:f>
        <x:v>0.008150248051027598</x:v>
      </x:c>
    </x:row>
    <x:row r="279" ht="27" customHeight="1">
      <x:c r="A279" s="9" t="n">
        <x:v>46322</x:v>
      </x:c>
      <x:c r="B279" s="10" t="str">
        <x:v>Teradyne</x:v>
      </x:c>
      <x:c r="C279" s="10" t="str">
        <x:v>TER</x:v>
      </x:c>
      <x:c r="D279" s="21" t="n">
        <x:f>G264</x:f>
        <x:v>0.05363499762234752</x:v>
      </x:c>
      <x:c r="E279" s="23" t="n">
        <x:f>'Prices'!H315/'Prices'!G315-1</x:f>
        <x:v>0.04750809061488681</x:v>
      </x:c>
      <x:c r="F279" s="21" t="n">
        <x:f>D279*E279</x:f>
        <x:v>0.0025480963271717243</x:v>
      </x:c>
      <x:c r="G279" s="21" t="n">
        <x:f>D279*(1+E279)/(1+SUM($F$276:$F$290))</x:f>
        <x:v>0.055351929435878654</x:v>
      </x:c>
      <x:c r="H279" s="23" t="n">
        <x:f>'Prices'!H315/'Prices'!I315-1</x:f>
        <x:v>-0.22153009932898826</x:v>
      </x:c>
    </x:row>
    <x:row r="280" ht="27" customHeight="1">
      <x:c r="A280" s="8" t="n">
        <x:v>46322</x:v>
      </x:c>
      <x:c r="B280" s="2" t="str">
        <x:v>Nabtesco</x:v>
      </x:c>
      <x:c r="C280" s="2" t="str">
        <x:v>6268</x:v>
      </x:c>
      <x:c r="D280" s="20" t="n">
        <x:f>G265</x:f>
        <x:v>0.060058029980438736</x:v>
      </x:c>
      <x:c r="E280" s="22" t="n">
        <x:f>'Prices'!H316/'Prices'!G316-1</x:f>
        <x:v>0.035024154589371914</x:v>
      </x:c>
      <x:c r="F280" s="20" t="n">
        <x:f>D280*E280</x:f>
        <x:v>0.0021034817263680195</x:v>
      </x:c>
      <x:c r="G280" s="20" t="n">
        <x:f>D280*(1+E280)/(1+SUM($F$276:$F$290))</x:f>
        <x:v>0.06124190335110861</x:v>
      </x:c>
      <x:c r="H280" s="22" t="n">
        <x:f>'Prices'!H316/'Prices'!I316-1</x:f>
        <x:v>-0.13869346733668342</x:v>
      </x:c>
    </x:row>
    <x:row r="281" ht="27" customHeight="1">
      <x:c r="A281" s="9" t="n">
        <x:v>46322</x:v>
      </x:c>
      <x:c r="B281" s="10" t="str">
        <x:v>Inovance</x:v>
      </x:c>
      <x:c r="C281" s="10" t="str">
        <x:v>300124</x:v>
      </x:c>
      <x:c r="D281" s="21" t="n">
        <x:f>G266</x:f>
        <x:v>0.07682963162243318</x:v>
      </x:c>
      <x:c r="E281" s="23" t="n">
        <x:f>'Prices'!H317/'Prices'!G317-1</x:f>
        <x:v>-0.03511312217194562</x:v>
      </x:c>
      <x:c r="F281" s="21" t="n">
        <x:f>D281*E281</x:f>
        <x:v>-0.002697728241584073</x:v>
      </x:c>
      <x:c r="G281" s="21" t="n">
        <x:f>D281*(1+E281)/(1+SUM($F$276:$F$290))</x:f>
        <x:v>0.073035206793186</x:v>
      </x:c>
      <x:c r="H281" s="23" t="n">
        <x:f>'Prices'!H317/'Prices'!I317-1</x:f>
        <x:v>0.02716763005780365</x:v>
      </x:c>
    </x:row>
    <x:row r="282" ht="27" customHeight="1">
      <x:c r="A282" s="8" t="n">
        <x:v>46322</x:v>
      </x:c>
      <x:c r="B282" s="2" t="str">
        <x:v>Keyence</x:v>
      </x:c>
      <x:c r="C282" s="2" t="str">
        <x:v>6861</x:v>
      </x:c>
      <x:c r="D282" s="20" t="n">
        <x:f>G267</x:f>
        <x:v>0.06867816919970902</x:v>
      </x:c>
      <x:c r="E282" s="22" t="n">
        <x:f>'Prices'!H318/'Prices'!G318-1</x:f>
        <x:v>0.023424356153746606</x:v>
      </x:c>
      <x:c r="F282" s="20" t="n">
        <x:f>D282*E282</x:f>
        <x:v>0.0016087418953212548</x:v>
      </x:c>
      <x:c r="G282" s="20" t="n">
        <x:f>D282*(1+E282)/(1+SUM($F$276:$F$290))</x:f>
        <x:v>0.06924709676355023</x:v>
      </x:c>
      <x:c r="H282" s="22" t="n">
        <x:f>'Prices'!H318/'Prices'!I318-1</x:f>
        <x:v>-0.02610837438423641</x:v>
      </x:c>
    </x:row>
    <x:row r="283" ht="27" customHeight="1">
      <x:c r="A283" s="9" t="n">
        <x:v>46322</x:v>
      </x:c>
      <x:c r="B283" s="10" t="str">
        <x:v>Cognex</x:v>
      </x:c>
      <x:c r="C283" s="10" t="str">
        <x:v>CGNX</x:v>
      </x:c>
      <x:c r="D283" s="21" t="n">
        <x:f>G268</x:f>
        <x:v>0.06452720878953648</x:v>
      </x:c>
      <x:c r="E283" s="23" t="n">
        <x:f>'Prices'!H319/'Prices'!G319-1</x:f>
        <x:v>0.0465576127988494</x:v>
      </x:c>
      <x:c r="F283" s="21" t="n">
        <x:f>D283*E283</x:f>
        <x:v>0.003004232801813751</x:v>
      </x:c>
      <x:c r="G283" s="21" t="n">
        <x:f>D283*(1+E283)/(1+SUM($F$276:$F$290))</x:f>
        <x:v>0.06653239127460983</x:v>
      </x:c>
      <x:c r="H283" s="23" t="n">
        <x:f>'Prices'!H319/'Prices'!I319-1</x:f>
        <x:v>-0.06428801028608166</x:v>
      </x:c>
    </x:row>
    <x:row r="284" ht="27" customHeight="1">
      <x:c r="A284" s="8" t="n">
        <x:v>46322</x:v>
      </x:c>
      <x:c r="B284" s="2" t="str">
        <x:v>Ouster</x:v>
      </x:c>
      <x:c r="C284" s="2" t="str">
        <x:v>OUST</x:v>
      </x:c>
      <x:c r="D284" s="20" t="n">
        <x:f>G269</x:f>
        <x:v>0.052464053289186074</x:v>
      </x:c>
      <x:c r="E284" s="22" t="n">
        <x:f>'Prices'!H320/'Prices'!G320-1</x:f>
        <x:v>0.10366879838438225</x:v>
      </x:c>
      <x:c r="F284" s="20" t="n">
        <x:f>D284*E284</x:f>
        <x:v>0.005438885362864118</x:v>
      </x:c>
      <x:c r="G284" s="20" t="n">
        <x:f>D284*(1+E284)/(1+SUM($F$276:$F$290))</x:f>
        <x:v>0.057046331006228225</x:v>
      </x:c>
      <x:c r="H284" s="22" t="n">
        <x:f>'Prices'!H320/'Prices'!I320-1</x:f>
        <x:v>-0.19770002446782475</x:v>
      </x:c>
    </x:row>
    <x:row r="285" ht="27" customHeight="1">
      <x:c r="A285" s="9" t="n">
        <x:v>46322</x:v>
      </x:c>
      <x:c r="B285" s="10" t="str">
        <x:v>Hesai</x:v>
      </x:c>
      <x:c r="C285" s="10" t="str">
        <x:v>HSAI</x:v>
      </x:c>
      <x:c r="D285" s="21" t="n">
        <x:f>G270</x:f>
        <x:v>0.062022818602524746</x:v>
      </x:c>
      <x:c r="E285" s="23" t="n">
        <x:f>'Prices'!H321/'Prices'!G321-1</x:f>
        <x:v>-0.0248356464572681</x:v>
      </x:c>
      <x:c r="F285" s="21" t="n">
        <x:f>D285*E285</x:f>
        <x:v>-0.0015403767950955757</x:v>
      </x:c>
      <x:c r="G285" s="21" t="n">
        <x:f>D285*(1+E285)/(1+SUM($F$276:$F$290))</x:f>
        <x:v>0.05958767336740991</x:v>
      </x:c>
      <x:c r="H285" s="23" t="n">
        <x:f>'Prices'!H321/'Prices'!I321-1</x:f>
        <x:v>-0.16195856873822978</x:v>
      </x:c>
    </x:row>
    <x:row r="286" ht="27" customHeight="1">
      <x:c r="A286" s="8" t="n">
        <x:v>46322</x:v>
      </x:c>
      <x:c r="B286" s="2" t="str">
        <x:v>Rockwell Automation</x:v>
      </x:c>
      <x:c r="C286" s="2" t="str">
        <x:v>ROK</x:v>
      </x:c>
      <x:c r="D286" s="20" t="n">
        <x:f>G271</x:f>
        <x:v>0.07012243195620053</x:v>
      </x:c>
      <x:c r="E286" s="22" t="n">
        <x:f>'Prices'!H322/'Prices'!G322-1</x:f>
        <x:v>0.02165670287748034</x:v>
      </x:c>
      <x:c r="F286" s="20" t="n">
        <x:f>D286*E286</x:f>
        <x:v>0.0015186206739217674</x:v>
      </x:c>
      <x:c r="G286" s="20" t="n">
        <x:f>D286*(1+E286)/(1+SUM($F$276:$F$290))</x:f>
        <x:v>0.07058120532588666</x:v>
      </x:c>
      <x:c r="H286" s="22" t="n">
        <x:f>'Prices'!H322/'Prices'!I322-1</x:f>
        <x:v>-0.007345462764154154</x:v>
      </x:c>
    </x:row>
    <x:row r="287" ht="27" customHeight="1">
      <x:c r="A287" s="9" t="n">
        <x:v>46322</x:v>
      </x:c>
      <x:c r="B287" s="10" t="str">
        <x:v>Siemens</x:v>
      </x:c>
      <x:c r="C287" s="10" t="str">
        <x:v>SIE</x:v>
      </x:c>
      <x:c r="D287" s="21" t="n">
        <x:f>G272</x:f>
        <x:v>0.06938413877518841</x:v>
      </x:c>
      <x:c r="E287" s="23" t="n">
        <x:f>'Prices'!H323/'Prices'!G323-1</x:f>
        <x:v>0.018362662586075107</x:v>
      </x:c>
      <x:c r="F287" s="21" t="n">
        <x:f>D287*E287</x:f>
        <x:v>0.0012740775291541953</x:v>
      </x:c>
      <x:c r="G287" s="21" t="n">
        <x:f>D287*(1+E287)/(1+SUM($F$276:$F$290))</x:f>
        <x:v>0.06961290893764474</x:v>
      </x:c>
      <x:c r="H287" s="23" t="n">
        <x:f>'Prices'!H323/'Prices'!I323-1</x:f>
        <x:v>-0.020963589554983453</x:v>
      </x:c>
    </x:row>
    <x:row r="288" ht="27" customHeight="1">
      <x:c r="A288" s="8" t="n">
        <x:v>46322</x:v>
      </x:c>
      <x:c r="B288" s="2" t="str">
        <x:v>NXP Semiconductors</x:v>
      </x:c>
      <x:c r="C288" s="2" t="str">
        <x:v>NXPI</x:v>
      </x:c>
      <x:c r="D288" s="20" t="n">
        <x:f>G273</x:f>
        <x:v>0.07417468124879598</x:v>
      </x:c>
      <x:c r="E288" s="22" t="n">
        <x:f>'Prices'!H324/'Prices'!G324-1</x:f>
        <x:v>0.03120042305658366</x:v>
      </x:c>
      <x:c r="F288" s="20" t="n">
        <x:f>D288*E288</x:f>
        <x:v>0.0023142814350496778</x:v>
      </x:c>
      <x:c r="G288" s="20" t="n">
        <x:f>D288*(1+E288)/(1+SUM($F$276:$F$290))</x:f>
        <x:v>0.07535739610395752</x:v>
      </x:c>
      <x:c r="H288" s="22" t="n">
        <x:f>'Prices'!H324/'Prices'!I324-1</x:f>
        <x:v>0.059826915840963224</x:v>
      </x:c>
    </x:row>
    <x:row r="289" ht="27" customHeight="1">
      <x:c r="A289" s="9" t="n">
        <x:v>46322</x:v>
      </x:c>
      <x:c r="B289" s="10" t="str">
        <x:v>Daifuku</x:v>
      </x:c>
      <x:c r="C289" s="10" t="str">
        <x:v>6383</x:v>
      </x:c>
      <x:c r="D289" s="21" t="n">
        <x:f>G274</x:f>
        <x:v>0.06357053651796724</x:v>
      </x:c>
      <x:c r="E289" s="23" t="n">
        <x:f>'Prices'!H325/'Prices'!G325-1</x:f>
        <x:v>0.015378625656998324</x:v>
      </x:c>
      <x:c r="F289" s="21" t="n">
        <x:f>D289*E289</x:f>
        <x:v>0.0009776274839243598</x:v>
      </x:c>
      <x:c r="G289" s="21" t="n">
        <x:f>D289*(1+E289)/(1+SUM($F$276:$F$290))</x:f>
        <x:v>0.06359324785955116</x:v>
      </x:c>
      <x:c r="H289" s="23" t="n">
        <x:f>'Prices'!H325/'Prices'!I325-1</x:f>
        <x:v>-0.1056241426611797</x:v>
      </x:c>
    </x:row>
    <x:row r="290" ht="27" customHeight="1">
      <x:c r="A290" s="8" t="n">
        <x:v>46322</x:v>
      </x:c>
      <x:c r="B290" s="2" t="str">
        <x:v>Hexagon</x:v>
      </x:c>
      <x:c r="C290" s="2" t="str">
        <x:v>HEXA B</x:v>
      </x:c>
      <x:c r="D290" s="20" t="n">
        <x:f>G275</x:f>
        <x:v>0.07977313694071736</x:v>
      </x:c>
      <x:c r="E290" s="22" t="n">
        <x:f>'Prices'!H326/'Prices'!G326-1</x:f>
        <x:v>0.001827318410233092</x:v>
      </x:c>
      <x:c r="F290" s="20" t="n">
        <x:f>D290*E290</x:f>
        <x:v>0.0001457709217738184</x:v>
      </x:c>
      <x:c r="G290" s="20" t="n">
        <x:f>D290*(1+E290)/(1+SUM($F$276:$F$290))</x:f>
        <x:v>0.07873659917290747</x:v>
      </x:c>
      <x:c r="H290" s="22" t="n">
        <x:f>'Prices'!H326/'Prices'!I326-1</x:f>
        <x:v>0.10735205009089088</x:v>
      </x:c>
    </x:row>
    <x:row r="291" ht="27" customHeight="1">
      <x:c r="A291" s="9" t="n">
        <x:v>46323</x:v>
      </x:c>
      <x:c r="B291" s="10" t="str">
        <x:v>FANUC</x:v>
      </x:c>
      <x:c r="C291" s="10" t="str">
        <x:v>6954</x:v>
      </x:c>
      <x:c r="D291" s="21" t="n">
        <x:f>G276</x:f>
        <x:v>0.06754077550576866</x:v>
      </x:c>
      <x:c r="E291" s="23" t="n">
        <x:f>'Prices'!H329/'Prices'!G329-1</x:f>
        <x:v>0.015120274914089293</x:v>
      </x:c>
      <x:c r="F291" s="21" t="n">
        <x:f>D291*E291</x:f>
        <x:v>0.0010212350935580104</x:v>
      </x:c>
      <x:c r="G291" s="21" t="n">
        <x:f>D291*(1+E291)/(1+SUM($F$291:$F$305))</x:f>
        <x:v>0.06731857687462542</x:v>
      </x:c>
      <x:c r="H291" s="23" t="n">
        <x:f>'Prices'!H329/'Prices'!I329-1</x:f>
        <x:v>-0.03574343071650077</x:v>
      </x:c>
    </x:row>
    <x:row r="292" ht="27" customHeight="1">
      <x:c r="A292" s="8" t="n">
        <x:v>46323</x:v>
      </x:c>
      <x:c r="B292" s="2" t="str">
        <x:v>Yaskawa Electric</x:v>
      </x:c>
      <x:c r="C292" s="2" t="str">
        <x:v>6506</x:v>
      </x:c>
      <x:c r="D292" s="20" t="n">
        <x:f>G277</x:f>
        <x:v>0.060852330604920464</x:v>
      </x:c>
      <x:c r="E292" s="22" t="n">
        <x:f>'Prices'!H330/'Prices'!G330-1</x:f>
        <x:v>0.02347188264058686</x:v>
      </x:c>
      <x:c r="F292" s="20" t="n">
        <x:f>D292*E292</x:f>
        <x:v>0.0014283187623648852</x:v>
      </x:c>
      <x:c r="G292" s="20" t="n">
        <x:f>D292*(1+E292)/(1+SUM($F$291:$F$305))</x:f>
        <x:v>0.061151133777782835</x:v>
      </x:c>
      <x:c r="H292" s="22" t="n">
        <x:f>'Prices'!H330/'Prices'!I330-1</x:f>
        <x:v>-0.12408453651391504</x:v>
      </x:c>
    </x:row>
    <x:row r="293" ht="27" customHeight="1">
      <x:c r="A293" s="9" t="n">
        <x:v>46323</x:v>
      </x:c>
      <x:c r="B293" s="10" t="str">
        <x:v>Estun Automation</x:v>
      </x:c>
      <x:c r="C293" s="15" t="str">
        <x:v>002747</x:v>
      </x:c>
      <x:c r="D293" s="21" t="n">
        <x:f>G278</x:f>
        <x:v>0.07168300449739144</x:v>
      </x:c>
      <x:c r="E293" s="23" t="n">
        <x:f>'Prices'!H331/'Prices'!G331-1</x:f>
        <x:v>0.059402460456942086</x:v>
      </x:c>
      <x:c r="F293" s="21" t="n">
        <x:f>D293*E293</x:f>
        <x:v>0.0042581468400910965</x:v>
      </x:c>
      <x:c r="G293" s="21" t="n">
        <x:f>D293*(1+E293)/(1+SUM($F$291:$F$305))</x:f>
        <x:v>0.07456389025893134</x:v>
      </x:c>
      <x:c r="H293" s="23" t="n">
        <x:f>'Prices'!H331/'Prices'!I331-1</x:f>
        <x:v>0.0680368532955351</x:v>
      </x:c>
    </x:row>
    <x:row r="294" ht="27" customHeight="1">
      <x:c r="A294" s="8" t="n">
        <x:v>46323</x:v>
      </x:c>
      <x:c r="B294" s="2" t="str">
        <x:v>Teradyne</x:v>
      </x:c>
      <x:c r="C294" s="2" t="str">
        <x:v>TER</x:v>
      </x:c>
      <x:c r="D294" s="20" t="n">
        <x:f>G279</x:f>
        <x:v>0.055351929435878654</x:v>
      </x:c>
      <x:c r="E294" s="22" t="n">
        <x:f>'Prices'!H332/'Prices'!G332-1</x:f>
        <x:v>-0.03225407810182901</x:v>
      </x:c>
      <x:c r="F294" s="20" t="n">
        <x:f>D294*E294</x:f>
        <x:v>-0.0017853254551117583</x:v>
      </x:c>
      <x:c r="G294" s="20" t="n">
        <x:f>D294*(1+E294)/(1+SUM($F$291:$F$305))</x:f>
        <x:v>0.05259512544148299</x:v>
      </x:c>
      <x:c r="H294" s="22" t="n">
        <x:f>'Prices'!H332/'Prices'!I332-1</x:f>
        <x:v>-0.2466389283051541</x:v>
      </x:c>
    </x:row>
    <x:row r="295" ht="27" customHeight="1">
      <x:c r="A295" s="9" t="n">
        <x:v>46323</x:v>
      </x:c>
      <x:c r="B295" s="10" t="str">
        <x:v>Nabtesco</x:v>
      </x:c>
      <x:c r="C295" s="10" t="str">
        <x:v>6268</x:v>
      </x:c>
      <x:c r="D295" s="21" t="n">
        <x:f>G280</x:f>
        <x:v>0.06124190335110861</x:v>
      </x:c>
      <x:c r="E295" s="23" t="n">
        <x:f>'Prices'!H333/'Prices'!G333-1</x:f>
        <x:v>0.031505250875145885</x:v>
      </x:c>
      <x:c r="F295" s="21" t="n">
        <x:f>D295*E295</x:f>
        <x:v>0.0019294415291481143</x:v>
      </x:c>
      <x:c r="G295" s="21" t="n">
        <x:f>D295*(1+E295)/(1+SUM($F$291:$F$305))</x:f>
        <x:v>0.062025675726563374</x:v>
      </x:c>
      <x:c r="H295" s="23" t="n">
        <x:f>'Prices'!H333/'Prices'!I333-1</x:f>
        <x:v>-0.11155778894472357</x:v>
      </x:c>
    </x:row>
    <x:row r="296" ht="27" customHeight="1">
      <x:c r="A296" s="8" t="n">
        <x:v>46323</x:v>
      </x:c>
      <x:c r="B296" s="2" t="str">
        <x:v>Inovance</x:v>
      </x:c>
      <x:c r="C296" s="2" t="str">
        <x:v>300124</x:v>
      </x:c>
      <x:c r="D296" s="20" t="n">
        <x:f>G281</x:f>
        <x:v>0.073035206793186</x:v>
      </x:c>
      <x:c r="E296" s="22" t="n">
        <x:f>'Prices'!H334/'Prices'!G334-1</x:f>
        <x:v>0.05346088913899827</x:v>
      </x:c>
      <x:c r="F296" s="20" t="n">
        <x:f>D296*E296</x:f>
        <x:v>0.00390452709361433</x:v>
      </x:c>
      <x:c r="G296" s="20" t="n">
        <x:f>D296*(1+E296)/(1+SUM($F$291:$F$305))</x:f>
        <x:v>0.075544362615624</x:v>
      </x:c>
      <x:c r="H296" s="22" t="n">
        <x:f>'Prices'!H334/'Prices'!I334-1</x:f>
        <x:v>0.08208092485549123</x:v>
      </x:c>
    </x:row>
    <x:row r="297" ht="27" customHeight="1">
      <x:c r="A297" s="9" t="n">
        <x:v>46323</x:v>
      </x:c>
      <x:c r="B297" s="10" t="str">
        <x:v>Keyence</x:v>
      </x:c>
      <x:c r="C297" s="10" t="str">
        <x:v>6861</x:v>
      </x:c>
      <x:c r="D297" s="21" t="n">
        <x:f>G282</x:f>
        <x:v>0.06924709676355023</x:v>
      </x:c>
      <x:c r="E297" s="23" t="n">
        <x:f>'Prices'!H335/'Prices'!G335-1</x:f>
        <x:v>0.001390996459281757</x:v>
      </x:c>
      <x:c r="F297" s="21" t="n">
        <x:f>D297*E297</x:f>
        <x:v>0.00009632246641363958</x:v>
      </x:c>
      <x:c r="G297" s="21" t="n">
        <x:f>D297*(1+E297)/(1+SUM($F$291:$F$305))</x:f>
        <x:v>0.06808581395697205</x:v>
      </x:c>
      <x:c r="H297" s="23" t="n">
        <x:f>'Prices'!H335/'Prices'!I335-1</x:f>
        <x:v>-0.02475369458128074</x:v>
      </x:c>
    </x:row>
    <x:row r="298" ht="27" customHeight="1">
      <x:c r="A298" s="8" t="n">
        <x:v>46323</x:v>
      </x:c>
      <x:c r="B298" s="2" t="str">
        <x:v>Cognex</x:v>
      </x:c>
      <x:c r="C298" s="2" t="str">
        <x:v>CGNX</x:v>
      </x:c>
      <x:c r="D298" s="20" t="n">
        <x:f>G283</x:f>
        <x:v>0.06653239127460983</x:v>
      </x:c>
      <x:c r="E298" s="22" t="n">
        <x:f>'Prices'!H336/'Prices'!G336-1</x:f>
        <x:v>0.0036070079010650513</x:v>
      </x:c>
      <x:c r="F298" s="20" t="n">
        <x:f>D298*E298</x:f>
        <x:v>0.00023998286100426915</x:v>
      </x:c>
      <x:c r="G298" s="20" t="n">
        <x:f>D298*(1+E298)/(1+SUM($F$291:$F$305))</x:f>
        <x:v>0.06556139707772415</x:v>
      </x:c>
      <x:c r="H298" s="22" t="n">
        <x:f>'Prices'!H336/'Prices'!I336-1</x:f>
        <x:v>-0.06091288974606235</x:v>
      </x:c>
    </x:row>
    <x:row r="299" ht="27" customHeight="1">
      <x:c r="A299" s="9" t="n">
        <x:v>46323</x:v>
      </x:c>
      <x:c r="B299" s="10" t="str">
        <x:v>Ouster</x:v>
      </x:c>
      <x:c r="C299" s="10" t="str">
        <x:v>OUST</x:v>
      </x:c>
      <x:c r="D299" s="21" t="n">
        <x:f>G284</x:f>
        <x:v>0.057046331006228225</x:v>
      </x:c>
      <x:c r="E299" s="23" t="n">
        <x:f>'Prices'!H337/'Prices'!G337-1</x:f>
        <x:v>0.025007624275693807</x:v>
      </x:c>
      <x:c r="F299" s="21" t="n">
        <x:f>D299*E299</x:f>
        <x:v>0.0014265932121106174</x:v>
      </x:c>
      <x:c r="G299" s="21" t="n">
        <x:f>D299*(1+E299)/(1+SUM($F$291:$F$305))</x:f>
        <x:v>0.057412465148958855</x:v>
      </x:c>
      <x:c r="H299" s="23" t="n">
        <x:f>'Prices'!H337/'Prices'!I337-1</x:f>
        <x:v>-0.17763640812331782</x:v>
      </x:c>
    </x:row>
    <x:row r="300" ht="27" customHeight="1">
      <x:c r="A300" s="8" t="n">
        <x:v>46323</x:v>
      </x:c>
      <x:c r="B300" s="2" t="str">
        <x:v>Hesai</x:v>
      </x:c>
      <x:c r="C300" s="2" t="str">
        <x:v>HSAI</x:v>
      </x:c>
      <x:c r="D300" s="20" t="n">
        <x:f>G285</x:f>
        <x:v>0.05958767336740991</x:v>
      </x:c>
      <x:c r="E300" s="22" t="n">
        <x:f>'Prices'!H338/'Prices'!G338-1</x:f>
        <x:v>0.035955056179775235</x:v>
      </x:c>
      <x:c r="F300" s="20" t="n">
        <x:f>D300*E300</x:f>
        <x:v>0.00214247814354732</x:v>
      </x:c>
      <x:c r="G300" s="20" t="n">
        <x:f>D300*(1+E300)/(1+SUM($F$291:$F$305))</x:f>
        <x:v>0.06061061969517942</x:v>
      </x:c>
      <x:c r="H300" s="22" t="n">
        <x:f>'Prices'!H338/'Prices'!I338-1</x:f>
        <x:v>-0.13182674199623345</x:v>
      </x:c>
    </x:row>
    <x:row r="301" ht="27" customHeight="1">
      <x:c r="A301" s="9" t="n">
        <x:v>46323</x:v>
      </x:c>
      <x:c r="B301" s="10" t="str">
        <x:v>Rockwell Automation</x:v>
      </x:c>
      <x:c r="C301" s="10" t="str">
        <x:v>ROK</x:v>
      </x:c>
      <x:c r="D301" s="21" t="n">
        <x:f>G286</x:f>
        <x:v>0.07058120532588666</x:v>
      </x:c>
      <x:c r="E301" s="23" t="n">
        <x:f>'Prices'!H339/'Prices'!G339-1</x:f>
        <x:v>0.010496357012750535</x:v>
      </x:c>
      <x:c r="F301" s="21" t="n">
        <x:f>D301*E301</x:f>
        <x:v>0.0007408455294907558</x:v>
      </x:c>
      <x:c r="G301" s="21" t="n">
        <x:f>D301*(1+E301)/(1+SUM($F$291:$F$305))</x:f>
        <x:v>0.07002856131834063</x:v>
      </x:c>
      <x:c r="H301" s="23" t="n">
        <x:f>'Prices'!H339/'Prices'!I339-1</x:f>
        <x:v>0.0030737936489999562</x:v>
      </x:c>
    </x:row>
    <x:row r="302" ht="27" customHeight="1">
      <x:c r="A302" s="8" t="n">
        <x:v>46323</x:v>
      </x:c>
      <x:c r="B302" s="2" t="str">
        <x:v>Siemens</x:v>
      </x:c>
      <x:c r="C302" s="2" t="str">
        <x:v>SIE</x:v>
      </x:c>
      <x:c r="D302" s="20" t="n">
        <x:f>G287</x:f>
        <x:v>0.06961290893764474</x:v>
      </x:c>
      <x:c r="E302" s="22" t="n">
        <x:f>'Prices'!H340/'Prices'!G340-1</x:f>
        <x:v>0.01446280991735538</x:v>
      </x:c>
      <x:c r="F302" s="20" t="n">
        <x:f>D302*E302</x:f>
        <x:v>0.0010067982697593253</x:v>
      </x:c>
      <x:c r="G302" s="20" t="n">
        <x:f>D302*(1+E302)/(1+SUM($F$291:$F$305))</x:f>
        <x:v>0.06933895530408873</x:v>
      </x:c>
      <x:c r="H302" s="22" t="n">
        <x:f>'Prices'!H340/'Prices'!I340-1</x:f>
        <x:v>-0.006803972048547102</x:v>
      </x:c>
    </x:row>
    <x:row r="303" ht="27" customHeight="1">
      <x:c r="A303" s="9" t="n">
        <x:v>46323</x:v>
      </x:c>
      <x:c r="B303" s="10" t="str">
        <x:v>NXP Semiconductors</x:v>
      </x:c>
      <x:c r="C303" s="10" t="str">
        <x:v>NXPI</x:v>
      </x:c>
      <x:c r="D303" s="21" t="n">
        <x:f>G288</x:f>
        <x:v>0.07535739610395752</x:v>
      </x:c>
      <x:c r="E303" s="23" t="n">
        <x:f>'Prices'!H341/'Prices'!G341-1</x:f>
        <x:v>-0.007140039447731783</x:v>
      </x:c>
      <x:c r="F303" s="21" t="n">
        <x:f>D303*E303</x:f>
        <x:v>-0.000538054780860606</x:v>
      </x:c>
      <x:c r="G303" s="21" t="n">
        <x:f>D303*(1+E303)/(1+SUM($F$291:$F$305))</x:f>
        <x:v>0.07346242527807668</x:v>
      </x:c>
      <x:c r="H303" s="23" t="n">
        <x:f>'Prices'!H341/'Prices'!I341-1</x:f>
        <x:v>0.0522597098540909</x:v>
      </x:c>
    </x:row>
    <x:row r="304" ht="27" customHeight="1">
      <x:c r="A304" s="8" t="n">
        <x:v>46323</x:v>
      </x:c>
      <x:c r="B304" s="2" t="str">
        <x:v>Daifuku</x:v>
      </x:c>
      <x:c r="C304" s="2" t="str">
        <x:v>6383</x:v>
      </x:c>
      <x:c r="D304" s="20" t="n">
        <x:f>G289</x:f>
        <x:v>0.06359324785955116</x:v>
      </x:c>
      <x:c r="E304" s="22" t="n">
        <x:f>'Prices'!H342/'Prices'!G342-1</x:f>
        <x:v>0.04313650306748462</x:v>
      </x:c>
      <x:c r="F304" s="20" t="n">
        <x:f>D304*E304</x:f>
        <x:v>0.0027431903313648383</x:v>
      </x:c>
      <x:c r="G304" s="20" t="n">
        <x:f>D304*(1+E304)/(1+SUM($F$291:$F$305))</x:f>
        <x:v>0.06513336722345002</x:v>
      </x:c>
      <x:c r="H304" s="22" t="n">
        <x:f>'Prices'!H342/'Prices'!I342-1</x:f>
        <x:v>-0.0670438957475995</x:v>
      </x:c>
    </x:row>
    <x:row r="305" ht="27" customHeight="1">
      <x:c r="A305" s="9" t="n">
        <x:v>46323</x:v>
      </x:c>
      <x:c r="B305" s="10" t="str">
        <x:v>Hexagon</x:v>
      </x:c>
      <x:c r="C305" s="10" t="str">
        <x:v>HEXA B</x:v>
      </x:c>
      <x:c r="D305" s="21" t="n">
        <x:f>G290</x:f>
        <x:v>0.07873659917290747</x:v>
      </x:c>
      <x:c r="E305" s="23" t="n">
        <x:f>'Prices'!H343/'Prices'!G343-1</x:f>
        <x:v>-0.0018239854081167906</x:v>
      </x:c>
      <x:c r="F305" s="21" t="n">
        <x:f>D305*E305</x:f>
        <x:v>-0.00014361440797612377</x:v>
      </x:c>
      <x:c r="G305" s="21" t="n">
        <x:f>D305*(1+E305)/(1+SUM($F$291:$F$305))</x:f>
        <x:v>0.07716763030219907</x:v>
      </x:c>
      <x:c r="H305" s="23" t="n">
        <x:f>'Prices'!H343/'Prices'!I343-1</x:f>
        <x:v>0.10533225610987684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ae68bcb6acd044f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  <x:row r="295" ht="50" customHeight="1">
      <x:c r="A295" s="9" t="n">
        <x:v>46321</x:v>
      </x:c>
      <x:c r="B295" s="10" t="str">
        <x:v>6954</x:v>
      </x:c>
      <x:c r="C295" s="33" t="n">
        <x:v>5639</x:v>
      </x:c>
      <x:c r="D295" s="33" t="n">
        <x:v>5639</x:v>
      </x:c>
      <x:c r="E295" s="33" t="n">
        <x:v>0</x:v>
      </x:c>
      <x:c r="F295" s="37" t="n">
        <x:v>1</x:v>
      </x:c>
      <x:c r="G295" s="10" t="str">
        <x:v>XJPX</x:v>
      </x:c>
      <x:c r="H295" s="10" t="str">
        <x:v>XJPX</x:v>
      </x:c>
      <x:c r="I295" s="32" t="str">
        <x:f>IF(AND(G295=H295,C295&gt;0,ABS(C295-'Prices'!H295)&lt;=MAX(0.01,'Prices'!H295*0.000001)),"Match","Mismatch")</x:f>
        <x:v>Match</x:v>
      </x:c>
      <x:c r="J295" s="16" t="str">
        <x:v>data/bspi15/raw/marketstack/2026-10-27T11-26-35-870Z/constituents-v2.json</x:v>
      </x:c>
      <x:c r="K295" s="16" t="str"/>
      <x:c r="L295" s="39" t="n">
        <x:v>46322.47680405092</x:v>
      </x:c>
      <x:c r="M295" s="16" t="str"/>
    </x:row>
    <x:row r="296" ht="50" customHeight="1">
      <x:c r="A296" s="8" t="n">
        <x:v>46321</x:v>
      </x:c>
      <x:c r="B296" s="2" t="str">
        <x:v>6506</x:v>
      </x:c>
      <x:c r="C296" s="17" t="n">
        <x:v>3980</x:v>
      </x:c>
      <x:c r="D296" s="17" t="n">
        <x:v>3980</x:v>
      </x:c>
      <x:c r="E296" s="17" t="n">
        <x:v>0</x:v>
      </x:c>
      <x:c r="F296" s="36" t="n">
        <x:v>1</x:v>
      </x:c>
      <x:c r="G296" s="2" t="str">
        <x:v>XJPX</x:v>
      </x:c>
      <x:c r="H296" s="2" t="str">
        <x:v>XJPX</x:v>
      </x:c>
      <x:c r="I296" s="31" t="str">
        <x:f>IF(AND(G296=H296,C296&gt;0,ABS(C296-'Prices'!H296)&lt;=MAX(0.01,'Prices'!H296*0.000001)),"Match","Mismatch")</x:f>
        <x:v>Match</x:v>
      </x:c>
      <x:c r="J296" s="14" t="str">
        <x:v>data/bspi15/raw/marketstack/2026-10-27T11-26-35-870Z/constituents-v2.json</x:v>
      </x:c>
      <x:c r="K296" s="14" t="str"/>
      <x:c r="L296" s="38" t="n">
        <x:v>46322.47680405092</x:v>
      </x:c>
      <x:c r="M296" s="14" t="str"/>
    </x:row>
    <x:row r="297" ht="50" customHeight="1">
      <x:c r="A297" s="9" t="n">
        <x:v>46321</x:v>
      </x:c>
      <x:c r="B297" s="15" t="str">
        <x:v>002747</x:v>
      </x:c>
      <x:c r="C297" s="33" t="n">
        <x:v>30.59</x:v>
      </x:c>
      <x:c r="D297" s="33" t="n">
        <x:v>30.59</x:v>
      </x:c>
      <x:c r="E297" s="33" t="n">
        <x:v>0</x:v>
      </x:c>
      <x:c r="F297" s="37" t="n">
        <x:v>1</x:v>
      </x:c>
      <x:c r="G297" s="10" t="str">
        <x:v>XSHE</x:v>
      </x:c>
      <x:c r="H297" s="10" t="str">
        <x:v>XSHE</x:v>
      </x:c>
      <x:c r="I297" s="32" t="str">
        <x:f>IF(AND(G297=H297,C297&gt;0,ABS(C297-'Prices'!H297)&lt;=MAX(0.01,'Prices'!H297*0.000001)),"Match","Mismatch")</x:f>
        <x:v>Match</x:v>
      </x:c>
      <x:c r="J297" s="16" t="str">
        <x:v>data/bspi15/raw/marketstack/2026-10-27T11-26-35-870Z/constituents-v2.json</x:v>
      </x:c>
      <x:c r="K297" s="16" t="str"/>
      <x:c r="L297" s="39" t="n">
        <x:v>46322.47680405092</x:v>
      </x:c>
      <x:c r="M297" s="16" t="str"/>
    </x:row>
    <x:row r="298" ht="50" customHeight="1">
      <x:c r="A298" s="8" t="n">
        <x:v>46321</x:v>
      </x:c>
      <x:c r="B298" s="2" t="str">
        <x:v>TER</x:v>
      </x:c>
      <x:c r="C298" s="17" t="n">
        <x:v>309</x:v>
      </x:c>
      <x:c r="D298" s="17" t="n">
        <x:v>309</x:v>
      </x:c>
      <x:c r="E298" s="17" t="n">
        <x:v>0</x:v>
      </x:c>
      <x:c r="F298" s="36" t="n">
        <x:v>1</x:v>
      </x:c>
      <x:c r="G298" s="2" t="str">
        <x:v>XNAS</x:v>
      </x:c>
      <x:c r="H298" s="2" t="str">
        <x:v>XNAS</x:v>
      </x:c>
      <x:c r="I298" s="31" t="str">
        <x:f>IF(AND(G298=H298,C298&gt;0,ABS(C298-'Prices'!H298)&lt;=MAX(0.01,'Prices'!H298*0.000001)),"Match","Mismatch")</x:f>
        <x:v>Match</x:v>
      </x:c>
      <x:c r="J298" s="14" t="str">
        <x:v>data/bspi15/raw/marketstack/2026-10-27T11-26-35-870Z/constituents-v2.json</x:v>
      </x:c>
      <x:c r="K298" s="14" t="str"/>
      <x:c r="L298" s="38" t="n">
        <x:v>46322.47680405092</x:v>
      </x:c>
      <x:c r="M298" s="14" t="str"/>
    </x:row>
    <x:row r="299" ht="50" customHeight="1">
      <x:c r="A299" s="9" t="n">
        <x:v>46321</x:v>
      </x:c>
      <x:c r="B299" s="10" t="str">
        <x:v>6268</x:v>
      </x:c>
      <x:c r="C299" s="33" t="n">
        <x:v>4140</x:v>
      </x:c>
      <x:c r="D299" s="33" t="n">
        <x:v>4140</x:v>
      </x:c>
      <x:c r="E299" s="33" t="n">
        <x:v>0</x:v>
      </x:c>
      <x:c r="F299" s="37" t="n">
        <x:v>1</x:v>
      </x:c>
      <x:c r="G299" s="10" t="str">
        <x:v>XJPX</x:v>
      </x:c>
      <x:c r="H299" s="10" t="str">
        <x:v>XJPX</x:v>
      </x:c>
      <x:c r="I299" s="32" t="str">
        <x:f>IF(AND(G299=H299,C299&gt;0,ABS(C299-'Prices'!H299)&lt;=MAX(0.01,'Prices'!H299*0.000001)),"Match","Mismatch")</x:f>
        <x:v>Match</x:v>
      </x:c>
      <x:c r="J299" s="16" t="str">
        <x:v>data/bspi15/raw/marketstack/2026-10-27T11-26-35-870Z/constituents-v2.json</x:v>
      </x:c>
      <x:c r="K299" s="16" t="str"/>
      <x:c r="L299" s="39" t="n">
        <x:v>46322.47680405092</x:v>
      </x:c>
      <x:c r="M299" s="16" t="str"/>
    </x:row>
    <x:row r="300" ht="50" customHeight="1">
      <x:c r="A300" s="8" t="n">
        <x:v>46321</x:v>
      </x:c>
      <x:c r="B300" s="2" t="str">
        <x:v>300124</x:v>
      </x:c>
      <x:c r="C300" s="17" t="n">
        <x:v>55.25</x:v>
      </x:c>
      <x:c r="D300" s="17" t="n">
        <x:v>55.25</x:v>
      </x:c>
      <x:c r="E300" s="17" t="n">
        <x:v>0</x:v>
      </x:c>
      <x:c r="F300" s="36" t="n">
        <x:v>1</x:v>
      </x:c>
      <x:c r="G300" s="2" t="str">
        <x:v>XSHE</x:v>
      </x:c>
      <x:c r="H300" s="2" t="str">
        <x:v>XSHE</x:v>
      </x:c>
      <x:c r="I300" s="31" t="str">
        <x:f>IF(AND(G300=H300,C300&gt;0,ABS(C300-'Prices'!H300)&lt;=MAX(0.01,'Prices'!H300*0.000001)),"Match","Mismatch")</x:f>
        <x:v>Match</x:v>
      </x:c>
      <x:c r="J300" s="14" t="str">
        <x:v>data/bspi15/raw/marketstack/2026-10-27T11-26-35-870Z/constituents-v2.json</x:v>
      </x:c>
      <x:c r="K300" s="14" t="str"/>
      <x:c r="L300" s="38" t="n">
        <x:v>46322.47680405092</x:v>
      </x:c>
      <x:c r="M300" s="14" t="str"/>
    </x:row>
    <x:row r="301" ht="50" customHeight="1">
      <x:c r="A301" s="9" t="n">
        <x:v>46321</x:v>
      </x:c>
      <x:c r="B301" s="10" t="str">
        <x:v>6861</x:v>
      </x:c>
      <x:c r="C301" s="33" t="n">
        <x:v>77270</x:v>
      </x:c>
      <x:c r="D301" s="33" t="n">
        <x:v>77270</x:v>
      </x:c>
      <x:c r="E301" s="33" t="n">
        <x:v>0</x:v>
      </x:c>
      <x:c r="F301" s="37" t="n">
        <x:v>1</x:v>
      </x:c>
      <x:c r="G301" s="10" t="str">
        <x:v>XJPX</x:v>
      </x:c>
      <x:c r="H301" s="10" t="str">
        <x:v>XJPX</x:v>
      </x:c>
      <x:c r="I301" s="32" t="str">
        <x:f>IF(AND(G301=H301,C301&gt;0,ABS(C301-'Prices'!H301)&lt;=MAX(0.01,'Prices'!H301*0.000001)),"Match","Mismatch")</x:f>
        <x:v>Match</x:v>
      </x:c>
      <x:c r="J301" s="16" t="str">
        <x:v>data/bspi15/raw/marketstack/2026-10-27T11-26-35-870Z/constituents-v2.json</x:v>
      </x:c>
      <x:c r="K301" s="16" t="str"/>
      <x:c r="L301" s="39" t="n">
        <x:v>46322.47680405092</x:v>
      </x:c>
      <x:c r="M301" s="16" t="str"/>
    </x:row>
    <x:row r="302" ht="50" customHeight="1">
      <x:c r="A302" s="8" t="n">
        <x:v>46321</x:v>
      </x:c>
      <x:c r="B302" s="2" t="str">
        <x:v>CGNX</x:v>
      </x:c>
      <x:c r="C302" s="17" t="n">
        <x:v>55.63</x:v>
      </x:c>
      <x:c r="D302" s="17" t="n">
        <x:v>55.63</x:v>
      </x:c>
      <x:c r="E302" s="17" t="n">
        <x:v>0</x:v>
      </x:c>
      <x:c r="F302" s="36" t="n">
        <x:v>1</x:v>
      </x:c>
      <x:c r="G302" s="2" t="str">
        <x:v>XNAS</x:v>
      </x:c>
      <x:c r="H302" s="2" t="str">
        <x:v>XNAS</x:v>
      </x:c>
      <x:c r="I302" s="31" t="str">
        <x:f>IF(AND(G302=H302,C302&gt;0,ABS(C302-'Prices'!H302)&lt;=MAX(0.01,'Prices'!H302*0.000001)),"Match","Mismatch")</x:f>
        <x:v>Match</x:v>
      </x:c>
      <x:c r="J302" s="14" t="str">
        <x:v>data/bspi15/raw/marketstack/2026-10-27T11-26-35-870Z/constituents-v2.json</x:v>
      </x:c>
      <x:c r="K302" s="14" t="str"/>
      <x:c r="L302" s="38" t="n">
        <x:v>46322.47680405092</x:v>
      </x:c>
      <x:c r="M302" s="14" t="str"/>
    </x:row>
    <x:row r="303" ht="50" customHeight="1">
      <x:c r="A303" s="9" t="n">
        <x:v>46321</x:v>
      </x:c>
      <x:c r="B303" s="10" t="str">
        <x:v>OUST</x:v>
      </x:c>
      <x:c r="C303" s="33" t="n">
        <x:v>29.71</x:v>
      </x:c>
      <x:c r="D303" s="33" t="n">
        <x:v>29.71</x:v>
      </x:c>
      <x:c r="E303" s="33" t="n">
        <x:v>0</x:v>
      </x:c>
      <x:c r="F303" s="37" t="n">
        <x:v>1</x:v>
      </x:c>
      <x:c r="G303" s="10" t="str">
        <x:v>XNAS</x:v>
      </x:c>
      <x:c r="H303" s="10" t="str">
        <x:v>XNYS</x:v>
      </x:c>
      <x:c r="I303" s="32" t="str">
        <x:f>IF(AND(OR(G303=H303,AND(B303="OUST",G303="XNAS",H303="XNYS",LEFT(M303,34)="ouster-marketstack-legacy-nyse-tag")),C303&gt;0,ABS(C303-'Prices'!H303)&lt;=MAX(0.01,'Prices'!H303*0.000001)),"Approved MIC exception","Mismatch")</x:f>
        <x:v>Approved MIC exception</x:v>
      </x:c>
      <x:c r="J303" s="16" t="str">
        <x:v>data/bspi15/raw/marketstack/2026-10-27T11-26-35-870Z/constituents-v2.json</x:v>
      </x:c>
      <x:c r="K303" s="16" t="str"/>
      <x:c r="L303" s="39" t="n">
        <x:v>46322.47680405092</x:v>
      </x:c>
      <x:c r="M303" s="16" t="str">
        <x:v>ouster-marketstack-legacy-nyse-tag; approved 2026-10-14; data/bspi15/provider-mic-exceptions.json</x:v>
      </x:c>
    </x:row>
    <x:row r="304" ht="50" customHeight="1">
      <x:c r="A304" s="8" t="n">
        <x:v>46321</x:v>
      </x:c>
      <x:c r="B304" s="2" t="str">
        <x:v>HSAI</x:v>
      </x:c>
      <x:c r="C304" s="17" t="n">
        <x:v>13.69</x:v>
      </x:c>
      <x:c r="D304" s="17" t="n">
        <x:v>13.69</x:v>
      </x:c>
      <x:c r="E304" s="17" t="n">
        <x:v>0</x:v>
      </x:c>
      <x:c r="F304" s="36" t="n">
        <x:v>1</x:v>
      </x:c>
      <x:c r="G304" s="2" t="str">
        <x:v>XNAS</x:v>
      </x:c>
      <x:c r="H304" s="2" t="str">
        <x:v>XNAS</x:v>
      </x:c>
      <x:c r="I304" s="31" t="str">
        <x:f>IF(AND(G304=H304,C304&gt;0,ABS(C304-'Prices'!H304)&lt;=MAX(0.01,'Prices'!H304*0.000001)),"Match","Mismatch")</x:f>
        <x:v>Match</x:v>
      </x:c>
      <x:c r="J304" s="14" t="str">
        <x:v>data/bspi15/raw/marketstack/2026-10-27T11-26-35-870Z/constituents-v2.json</x:v>
      </x:c>
      <x:c r="K304" s="14" t="str"/>
      <x:c r="L304" s="38" t="n">
        <x:v>46322.47680405092</x:v>
      </x:c>
      <x:c r="M304" s="14" t="str"/>
    </x:row>
    <x:row r="305" ht="50" customHeight="1">
      <x:c r="A305" s="9" t="n">
        <x:v>46321</x:v>
      </x:c>
      <x:c r="B305" s="10" t="str">
        <x:v>ROK</x:v>
      </x:c>
      <x:c r="C305" s="33" t="n">
        <x:v>429.89</x:v>
      </x:c>
      <x:c r="D305" s="33" t="n">
        <x:v>429.89</x:v>
      </x:c>
      <x:c r="E305" s="33" t="n">
        <x:v>0</x:v>
      </x:c>
      <x:c r="F305" s="37" t="n">
        <x:v>1</x:v>
      </x:c>
      <x:c r="G305" s="10" t="str">
        <x:v>XNYS</x:v>
      </x:c>
      <x:c r="H305" s="10" t="str">
        <x:v>XNYS</x:v>
      </x:c>
      <x:c r="I305" s="32" t="str">
        <x:f>IF(AND(G305=H305,C305&gt;0,ABS(C305-'Prices'!H305)&lt;=MAX(0.01,'Prices'!H305*0.000001)),"Match","Mismatch")</x:f>
        <x:v>Match</x:v>
      </x:c>
      <x:c r="J305" s="16" t="str">
        <x:v>data/bspi15/raw/marketstack/2026-10-27T11-26-35-870Z/constituents-v2.json</x:v>
      </x:c>
      <x:c r="K305" s="16" t="str"/>
      <x:c r="L305" s="39" t="n">
        <x:v>46322.47680405092</x:v>
      </x:c>
      <x:c r="M305" s="16" t="str"/>
    </x:row>
    <x:row r="306" ht="50" customHeight="1">
      <x:c r="A306" s="8" t="n">
        <x:v>46321</x:v>
      </x:c>
      <x:c r="B306" s="2" t="str">
        <x:v>SIE</x:v>
      </x:c>
      <x:c r="C306" s="17" t="n">
        <x:v>261.4</x:v>
      </x:c>
      <x:c r="D306" s="17" t="n">
        <x:v>261.4</x:v>
      </x:c>
      <x:c r="E306" s="17" t="n">
        <x:v>0</x:v>
      </x:c>
      <x:c r="F306" s="36" t="n">
        <x:v>1</x:v>
      </x:c>
      <x:c r="G306" s="2" t="str">
        <x:v>XETR</x:v>
      </x:c>
      <x:c r="H306" s="2" t="str">
        <x:v>XETR</x:v>
      </x:c>
      <x:c r="I306" s="31" t="str">
        <x:f>IF(AND(G306=H306,C306&gt;0,ABS(C306-'Prices'!H306)&lt;=MAX(0.01,'Prices'!H306*0.000001)),"Match","Mismatch")</x:f>
        <x:v>Match</x:v>
      </x:c>
      <x:c r="J306" s="14" t="str">
        <x:v>data/bspi15/raw/marketstack/2026-10-27T11-26-35-870Z/constituents-v2.json</x:v>
      </x:c>
      <x:c r="K306" s="14" t="str"/>
      <x:c r="L306" s="38" t="n">
        <x:v>46322.47680405092</x:v>
      </x:c>
      <x:c r="M306" s="14" t="str"/>
    </x:row>
    <x:row r="307" ht="50" customHeight="1">
      <x:c r="A307" s="9" t="n">
        <x:v>46321</x:v>
      </x:c>
      <x:c r="B307" s="10" t="str">
        <x:v>NXPI</x:v>
      </x:c>
      <x:c r="C307" s="33" t="n">
        <x:v>245.83</x:v>
      </x:c>
      <x:c r="D307" s="33" t="n">
        <x:v>245.83</x:v>
      </x:c>
      <x:c r="E307" s="33" t="n">
        <x:v>0</x:v>
      </x:c>
      <x:c r="F307" s="37" t="n">
        <x:v>1</x:v>
      </x:c>
      <x:c r="G307" s="10" t="str">
        <x:v>XNAS</x:v>
      </x:c>
      <x:c r="H307" s="10" t="str">
        <x:v>XNAS</x:v>
      </x:c>
      <x:c r="I307" s="32" t="str">
        <x:f>IF(AND(G307=H307,C307&gt;0,ABS(C307-'Prices'!H307)&lt;=MAX(0.01,'Prices'!H307*0.000001)),"Match","Mismatch")</x:f>
        <x:v>Match</x:v>
      </x:c>
      <x:c r="J307" s="16" t="str">
        <x:v>data/bspi15/raw/marketstack/2026-10-27T11-26-35-870Z/constituents-v2.json</x:v>
      </x:c>
      <x:c r="K307" s="16" t="str"/>
      <x:c r="L307" s="39" t="n">
        <x:v>46322.47680405092</x:v>
      </x:c>
      <x:c r="M307" s="16" t="str"/>
    </x:row>
    <x:row r="308" ht="50" customHeight="1">
      <x:c r="A308" s="8" t="n">
        <x:v>46321</x:v>
      </x:c>
      <x:c r="B308" s="2" t="str">
        <x:v>6383</x:v>
      </x:c>
      <x:c r="C308" s="17" t="n">
        <x:v>5137</x:v>
      </x:c>
      <x:c r="D308" s="17" t="n">
        <x:v>5137</x:v>
      </x:c>
      <x:c r="E308" s="17" t="n">
        <x:v>0</x:v>
      </x:c>
      <x:c r="F308" s="36" t="n">
        <x:v>1</x:v>
      </x:c>
      <x:c r="G308" s="2" t="str">
        <x:v>XJPX</x:v>
      </x:c>
      <x:c r="H308" s="2" t="str">
        <x:v>XJPX</x:v>
      </x:c>
      <x:c r="I308" s="31" t="str">
        <x:f>IF(AND(G308=H308,C308&gt;0,ABS(C308-'Prices'!H308)&lt;=MAX(0.01,'Prices'!H308*0.000001)),"Match","Mismatch")</x:f>
        <x:v>Match</x:v>
      </x:c>
      <x:c r="J308" s="14" t="str">
        <x:v>data/bspi15/raw/marketstack/2026-10-27T11-26-35-870Z/constituents-v2.json</x:v>
      </x:c>
      <x:c r="K308" s="14" t="str"/>
      <x:c r="L308" s="38" t="n">
        <x:v>46322.47680405092</x:v>
      </x:c>
      <x:c r="M308" s="14" t="str"/>
    </x:row>
    <x:row r="309" ht="50" customHeight="1">
      <x:c r="A309" s="9" t="n">
        <x:v>46321</x:v>
      </x:c>
      <x:c r="B309" s="10" t="str">
        <x:v>HEXA B</x:v>
      </x:c>
      <x:c r="C309" s="33" t="n">
        <x:v>109.45</x:v>
      </x:c>
      <x:c r="D309" s="33" t="n">
        <x:v>109.45</x:v>
      </x:c>
      <x:c r="E309" s="33" t="n">
        <x:v>0</x:v>
      </x:c>
      <x:c r="F309" s="37" t="n">
        <x:v>1</x:v>
      </x:c>
      <x:c r="G309" s="10" t="str">
        <x:v>XSTO</x:v>
      </x:c>
      <x:c r="H309" s="10" t="str">
        <x:v>XSTO</x:v>
      </x:c>
      <x:c r="I309" s="32" t="str">
        <x:f>IF(AND(G309=H309,C309&gt;0,ABS(C309-'Prices'!H309)&lt;=MAX(0.01,'Prices'!H309*0.000001)),"Match","Mismatch")</x:f>
        <x:v>Match</x:v>
      </x:c>
      <x:c r="J309" s="16" t="str">
        <x:v>data/bspi15/raw/marketstack/2026-10-27T11-26-35-870Z/constituents-v2.json</x:v>
      </x:c>
      <x:c r="K309" s="16" t="str"/>
      <x:c r="L309" s="39" t="n">
        <x:v>46322.47680405092</x:v>
      </x:c>
      <x:c r="M309" s="16" t="str"/>
    </x:row>
    <x:row r="310" ht="50" customHeight="1">
      <x:c r="A310" s="8" t="n">
        <x:v>46321</x:v>
      </x:c>
      <x:c r="B310" s="2" t="str">
        <x:v>S&amp;P 500</x:v>
      </x:c>
      <x:c r="C310" s="17" t="n">
        <x:v>7676.77</x:v>
      </x:c>
      <x:c r="D310" s="17" t="n">
        <x:v>7676.77</x:v>
      </x:c>
      <x:c r="E310" s="17" t="n">
        <x:v>0</x:v>
      </x:c>
      <x:c r="F310" s="36" t="n">
        <x:v>1</x:v>
      </x:c>
      <x:c r="G310" s="2" t="str">
        <x:v>INDX</x:v>
      </x:c>
      <x:c r="H310" s="2" t="str">
        <x:v>INDX</x:v>
      </x:c>
      <x:c r="I310" s="31" t="str">
        <x:f>IF(AND(G310=H310,C310&gt;0,ABS(C310-'Prices'!H310)&lt;=MAX(0.01,'Prices'!H310*0.000001)),"Match","Mismatch")</x:f>
        <x:v>Match</x:v>
      </x:c>
      <x:c r="J310" s="14" t="str">
        <x:v>data/bspi15/raw/marketstack/2026-10-27T11-26-35-870Z/benchmarks-v1.json</x:v>
      </x:c>
      <x:c r="K310" s="14" t="str"/>
      <x:c r="L310" s="38" t="n">
        <x:v>46322.47680405092</x:v>
      </x:c>
      <x:c r="M310" s="14" t="str"/>
    </x:row>
    <x:row r="311" ht="50" customHeight="1">
      <x:c r="A311" s="9" t="n">
        <x:v>46321</x:v>
      </x:c>
      <x:c r="B311" s="10" t="str">
        <x:v>Nasdaq Composite</x:v>
      </x:c>
      <x:c r="C311" s="33" t="n">
        <x:v>26169.3809</x:v>
      </x:c>
      <x:c r="D311" s="33" t="n">
        <x:v>26169.3809</x:v>
      </x:c>
      <x:c r="E311" s="33" t="n">
        <x:v>0</x:v>
      </x:c>
      <x:c r="F311" s="37" t="n">
        <x:v>1</x:v>
      </x:c>
      <x:c r="G311" s="10" t="str">
        <x:v>INDX</x:v>
      </x:c>
      <x:c r="H311" s="10" t="str">
        <x:v>INDX</x:v>
      </x:c>
      <x:c r="I311" s="32" t="str">
        <x:f>IF(AND(G311=H311,C311&gt;0,ABS(C311-'Prices'!H311)&lt;=MAX(0.01,'Prices'!H311*0.000001)),"Match","Mismatch")</x:f>
        <x:v>Match</x:v>
      </x:c>
      <x:c r="J311" s="16" t="str">
        <x:v>data/bspi15/raw/marketstack/2026-10-27T11-26-35-870Z/benchmarks-v1.json</x:v>
      </x:c>
      <x:c r="K311" s="16" t="str"/>
      <x:c r="L311" s="39" t="n">
        <x:v>46322.47680405092</x:v>
      </x:c>
      <x:c r="M311" s="16" t="str"/>
    </x:row>
    <x:row r="312" ht="50" customHeight="1">
      <x:c r="A312" s="8" t="n">
        <x:v>46322</x:v>
      </x:c>
      <x:c r="B312" s="2" t="str">
        <x:v>6954</x:v>
      </x:c>
      <x:c r="C312" s="17" t="n">
        <x:v>5820</x:v>
      </x:c>
      <x:c r="D312" s="17" t="n">
        <x:v>5820</x:v>
      </x:c>
      <x:c r="E312" s="17" t="n">
        <x:v>0</x:v>
      </x:c>
      <x:c r="F312" s="36" t="n">
        <x:v>1</x:v>
      </x:c>
      <x:c r="G312" s="2" t="str">
        <x:v>XJPX</x:v>
      </x:c>
      <x:c r="H312" s="2" t="str">
        <x:v>XJPX</x:v>
      </x:c>
      <x:c r="I312" s="31" t="str">
        <x:f>IF(AND(G312=H312,C312&gt;0,ABS(C312-'Prices'!H312)&lt;=MAX(0.01,'Prices'!H312*0.000001)),"Match","Mismatch")</x:f>
        <x:v>Match</x:v>
      </x:c>
      <x:c r="J312" s="14" t="str">
        <x:v>data/bspi15/raw/marketstack/2026-10-28T11-29-17-918Z/constituents-v2.json</x:v>
      </x:c>
      <x:c r="K312" s="14" t="str"/>
      <x:c r="L312" s="38" t="n">
        <x:v>46323.47867960648</x:v>
      </x:c>
      <x:c r="M312" s="14" t="str"/>
    </x:row>
    <x:row r="313" ht="50" customHeight="1">
      <x:c r="A313" s="9" t="n">
        <x:v>46322</x:v>
      </x:c>
      <x:c r="B313" s="10" t="str">
        <x:v>6506</x:v>
      </x:c>
      <x:c r="C313" s="33" t="n">
        <x:v>4090</x:v>
      </x:c>
      <x:c r="D313" s="33" t="n">
        <x:v>4090</x:v>
      </x:c>
      <x:c r="E313" s="33" t="n">
        <x:v>0</x:v>
      </x:c>
      <x:c r="F313" s="37" t="n">
        <x:v>1</x:v>
      </x:c>
      <x:c r="G313" s="10" t="str">
        <x:v>XJPX</x:v>
      </x:c>
      <x:c r="H313" s="10" t="str">
        <x:v>XJPX</x:v>
      </x:c>
      <x:c r="I313" s="32" t="str">
        <x:f>IF(AND(G313=H313,C313&gt;0,ABS(C313-'Prices'!H313)&lt;=MAX(0.01,'Prices'!H313*0.000001)),"Match","Mismatch")</x:f>
        <x:v>Match</x:v>
      </x:c>
      <x:c r="J313" s="16" t="str">
        <x:v>data/bspi15/raw/marketstack/2026-10-28T11-29-17-918Z/constituents-v2.json</x:v>
      </x:c>
      <x:c r="K313" s="16" t="str"/>
      <x:c r="L313" s="39" t="n">
        <x:v>46323.47867960648</x:v>
      </x:c>
      <x:c r="M313" s="16" t="str"/>
    </x:row>
    <x:row r="314" ht="50" customHeight="1">
      <x:c r="A314" s="8" t="n">
        <x:v>46322</x:v>
      </x:c>
      <x:c r="B314" s="13" t="str">
        <x:v>002747</x:v>
      </x:c>
      <x:c r="C314" s="17" t="n">
        <x:v>28.45</x:v>
      </x:c>
      <x:c r="D314" s="17" t="n">
        <x:v>28.45</x:v>
      </x:c>
      <x:c r="E314" s="17" t="n">
        <x:v>0</x:v>
      </x:c>
      <x:c r="F314" s="36" t="n">
        <x:v>1</x:v>
      </x:c>
      <x:c r="G314" s="2" t="str">
        <x:v>XSHE</x:v>
      </x:c>
      <x:c r="H314" s="2" t="str">
        <x:v>XSHE</x:v>
      </x:c>
      <x:c r="I314" s="31" t="str">
        <x:f>IF(AND(G314=H314,C314&gt;0,ABS(C314-'Prices'!H314)&lt;=MAX(0.01,'Prices'!H314*0.000001)),"Match","Mismatch")</x:f>
        <x:v>Match</x:v>
      </x:c>
      <x:c r="J314" s="14" t="str">
        <x:v>data/bspi15/raw/marketstack/2026-10-28T11-29-17-918Z/constituents-v2.json</x:v>
      </x:c>
      <x:c r="K314" s="14" t="str"/>
      <x:c r="L314" s="38" t="n">
        <x:v>46323.47867960648</x:v>
      </x:c>
      <x:c r="M314" s="14" t="str"/>
    </x:row>
    <x:row r="315" ht="50" customHeight="1">
      <x:c r="A315" s="9" t="n">
        <x:v>46322</x:v>
      </x:c>
      <x:c r="B315" s="10" t="str">
        <x:v>TER</x:v>
      </x:c>
      <x:c r="C315" s="33" t="n">
        <x:v>323.68</x:v>
      </x:c>
      <x:c r="D315" s="33" t="n">
        <x:v>323.68</x:v>
      </x:c>
      <x:c r="E315" s="33" t="n">
        <x:v>0</x:v>
      </x:c>
      <x:c r="F315" s="37" t="n">
        <x:v>1</x:v>
      </x:c>
      <x:c r="G315" s="10" t="str">
        <x:v>XNAS</x:v>
      </x:c>
      <x:c r="H315" s="10" t="str">
        <x:v>XNAS</x:v>
      </x:c>
      <x:c r="I315" s="32" t="str">
        <x:f>IF(AND(G315=H315,C315&gt;0,ABS(C315-'Prices'!H315)&lt;=MAX(0.01,'Prices'!H315*0.000001)),"Match","Mismatch")</x:f>
        <x:v>Match</x:v>
      </x:c>
      <x:c r="J315" s="16" t="str">
        <x:v>data/bspi15/raw/marketstack/2026-10-28T11-29-17-918Z/constituents-v2.json</x:v>
      </x:c>
      <x:c r="K315" s="16" t="str"/>
      <x:c r="L315" s="39" t="n">
        <x:v>46323.47867960648</x:v>
      </x:c>
      <x:c r="M315" s="16" t="str"/>
    </x:row>
    <x:row r="316" ht="50" customHeight="1">
      <x:c r="A316" s="8" t="n">
        <x:v>46322</x:v>
      </x:c>
      <x:c r="B316" s="2" t="str">
        <x:v>6268</x:v>
      </x:c>
      <x:c r="C316" s="17" t="n">
        <x:v>4285</x:v>
      </x:c>
      <x:c r="D316" s="17" t="n">
        <x:v>4285</x:v>
      </x:c>
      <x:c r="E316" s="17" t="n">
        <x:v>0</x:v>
      </x:c>
      <x:c r="F316" s="36" t="n">
        <x:v>1</x:v>
      </x:c>
      <x:c r="G316" s="2" t="str">
        <x:v>XJPX</x:v>
      </x:c>
      <x:c r="H316" s="2" t="str">
        <x:v>XJPX</x:v>
      </x:c>
      <x:c r="I316" s="31" t="str">
        <x:f>IF(AND(G316=H316,C316&gt;0,ABS(C316-'Prices'!H316)&lt;=MAX(0.01,'Prices'!H316*0.000001)),"Match","Mismatch")</x:f>
        <x:v>Match</x:v>
      </x:c>
      <x:c r="J316" s="14" t="str">
        <x:v>data/bspi15/raw/marketstack/2026-10-28T11-29-17-918Z/constituents-v2.json</x:v>
      </x:c>
      <x:c r="K316" s="14" t="str"/>
      <x:c r="L316" s="38" t="n">
        <x:v>46323.47867960648</x:v>
      </x:c>
      <x:c r="M316" s="14" t="str"/>
    </x:row>
    <x:row r="317" ht="50" customHeight="1">
      <x:c r="A317" s="9" t="n">
        <x:v>46322</x:v>
      </x:c>
      <x:c r="B317" s="10" t="str">
        <x:v>300124</x:v>
      </x:c>
      <x:c r="C317" s="33" t="n">
        <x:v>53.31</x:v>
      </x:c>
      <x:c r="D317" s="33" t="n">
        <x:v>53.31</x:v>
      </x:c>
      <x:c r="E317" s="33" t="n">
        <x:v>0</x:v>
      </x:c>
      <x:c r="F317" s="37" t="n">
        <x:v>1</x:v>
      </x:c>
      <x:c r="G317" s="10" t="str">
        <x:v>XSHE</x:v>
      </x:c>
      <x:c r="H317" s="10" t="str">
        <x:v>XSHE</x:v>
      </x:c>
      <x:c r="I317" s="32" t="str">
        <x:f>IF(AND(G317=H317,C317&gt;0,ABS(C317-'Prices'!H317)&lt;=MAX(0.01,'Prices'!H317*0.000001)),"Match","Mismatch")</x:f>
        <x:v>Match</x:v>
      </x:c>
      <x:c r="J317" s="16" t="str">
        <x:v>data/bspi15/raw/marketstack/2026-10-28T11-29-17-918Z/constituents-v2.json</x:v>
      </x:c>
      <x:c r="K317" s="16" t="str"/>
      <x:c r="L317" s="39" t="n">
        <x:v>46323.47867960648</x:v>
      </x:c>
      <x:c r="M317" s="16" t="str"/>
    </x:row>
    <x:row r="318" ht="50" customHeight="1">
      <x:c r="A318" s="8" t="n">
        <x:v>46322</x:v>
      </x:c>
      <x:c r="B318" s="2" t="str">
        <x:v>6861</x:v>
      </x:c>
      <x:c r="C318" s="17" t="n">
        <x:v>79080</x:v>
      </x:c>
      <x:c r="D318" s="17" t="n">
        <x:v>79080</x:v>
      </x:c>
      <x:c r="E318" s="17" t="n">
        <x:v>0</x:v>
      </x:c>
      <x:c r="F318" s="36" t="n">
        <x:v>1</x:v>
      </x:c>
      <x:c r="G318" s="2" t="str">
        <x:v>XJPX</x:v>
      </x:c>
      <x:c r="H318" s="2" t="str">
        <x:v>XJPX</x:v>
      </x:c>
      <x:c r="I318" s="31" t="str">
        <x:f>IF(AND(G318=H318,C318&gt;0,ABS(C318-'Prices'!H318)&lt;=MAX(0.01,'Prices'!H318*0.000001)),"Match","Mismatch")</x:f>
        <x:v>Match</x:v>
      </x:c>
      <x:c r="J318" s="14" t="str">
        <x:v>data/bspi15/raw/marketstack/2026-10-28T11-29-17-918Z/constituents-v2.json</x:v>
      </x:c>
      <x:c r="K318" s="14" t="str"/>
      <x:c r="L318" s="38" t="n">
        <x:v>46323.47867960648</x:v>
      </x:c>
      <x:c r="M318" s="14" t="str"/>
    </x:row>
    <x:row r="319" ht="50" customHeight="1">
      <x:c r="A319" s="9" t="n">
        <x:v>46322</x:v>
      </x:c>
      <x:c r="B319" s="10" t="str">
        <x:v>CGNX</x:v>
      </x:c>
      <x:c r="C319" s="33" t="n">
        <x:v>58.22</x:v>
      </x:c>
      <x:c r="D319" s="33" t="n">
        <x:v>58.22</x:v>
      </x:c>
      <x:c r="E319" s="33" t="n">
        <x:v>0</x:v>
      </x:c>
      <x:c r="F319" s="37" t="n">
        <x:v>1</x:v>
      </x:c>
      <x:c r="G319" s="10" t="str">
        <x:v>XNAS</x:v>
      </x:c>
      <x:c r="H319" s="10" t="str">
        <x:v>XNAS</x:v>
      </x:c>
      <x:c r="I319" s="32" t="str">
        <x:f>IF(AND(G319=H319,C319&gt;0,ABS(C319-'Prices'!H319)&lt;=MAX(0.01,'Prices'!H319*0.000001)),"Match","Mismatch")</x:f>
        <x:v>Match</x:v>
      </x:c>
      <x:c r="J319" s="16" t="str">
        <x:v>data/bspi15/raw/marketstack/2026-10-28T11-29-17-918Z/constituents-v2.json</x:v>
      </x:c>
      <x:c r="K319" s="16" t="str"/>
      <x:c r="L319" s="39" t="n">
        <x:v>46323.47867960648</x:v>
      </x:c>
      <x:c r="M319" s="16" t="str"/>
    </x:row>
    <x:row r="320" ht="50" customHeight="1">
      <x:c r="A320" s="8" t="n">
        <x:v>46322</x:v>
      </x:c>
      <x:c r="B320" s="2" t="str">
        <x:v>OUST</x:v>
      </x:c>
      <x:c r="C320" s="17" t="n">
        <x:v>32.79</x:v>
      </x:c>
      <x:c r="D320" s="17" t="n">
        <x:v>32.79</x:v>
      </x:c>
      <x:c r="E320" s="17" t="n">
        <x:v>0</x:v>
      </x:c>
      <x:c r="F320" s="36" t="n">
        <x:v>1</x:v>
      </x:c>
      <x:c r="G320" s="2" t="str">
        <x:v>XNAS</x:v>
      </x:c>
      <x:c r="H320" s="2" t="str">
        <x:v>XNYS</x:v>
      </x:c>
      <x:c r="I320" s="31" t="str">
        <x:f>IF(AND(OR(G320=H320,AND(B320="OUST",G320="XNAS",H320="XNYS",LEFT(M320,34)="ouster-marketstack-legacy-nyse-tag")),C320&gt;0,ABS(C320-'Prices'!H320)&lt;=MAX(0.01,'Prices'!H320*0.000001)),"Approved MIC exception","Mismatch")</x:f>
        <x:v>Approved MIC exception</x:v>
      </x:c>
      <x:c r="J320" s="14" t="str">
        <x:v>data/bspi15/raw/marketstack/2026-10-28T11-29-17-918Z/constituents-v2.json</x:v>
      </x:c>
      <x:c r="K320" s="14" t="str"/>
      <x:c r="L320" s="38" t="n">
        <x:v>46323.47867960648</x:v>
      </x:c>
      <x:c r="M320" s="14" t="str">
        <x:v>ouster-marketstack-legacy-nyse-tag; approved 2026-10-14; data/bspi15/provider-mic-exceptions.json</x:v>
      </x:c>
    </x:row>
    <x:row r="321" ht="50" customHeight="1">
      <x:c r="A321" s="9" t="n">
        <x:v>46322</x:v>
      </x:c>
      <x:c r="B321" s="10" t="str">
        <x:v>HSAI</x:v>
      </x:c>
      <x:c r="C321" s="33" t="n">
        <x:v>13.35</x:v>
      </x:c>
      <x:c r="D321" s="33" t="n">
        <x:v>13.35</x:v>
      </x:c>
      <x:c r="E321" s="33" t="n">
        <x:v>0</x:v>
      </x:c>
      <x:c r="F321" s="37" t="n">
        <x:v>1</x:v>
      </x:c>
      <x:c r="G321" s="10" t="str">
        <x:v>XNAS</x:v>
      </x:c>
      <x:c r="H321" s="10" t="str">
        <x:v>XNAS</x:v>
      </x:c>
      <x:c r="I321" s="32" t="str">
        <x:f>IF(AND(G321=H321,C321&gt;0,ABS(C321-'Prices'!H321)&lt;=MAX(0.01,'Prices'!H321*0.000001)),"Match","Mismatch")</x:f>
        <x:v>Match</x:v>
      </x:c>
      <x:c r="J321" s="16" t="str">
        <x:v>data/bspi15/raw/marketstack/2026-10-28T11-29-17-918Z/constituents-v2.json</x:v>
      </x:c>
      <x:c r="K321" s="16" t="str"/>
      <x:c r="L321" s="39" t="n">
        <x:v>46323.47867960648</x:v>
      </x:c>
      <x:c r="M321" s="16" t="str"/>
    </x:row>
    <x:row r="322" ht="50" customHeight="1">
      <x:c r="A322" s="8" t="n">
        <x:v>46322</x:v>
      </x:c>
      <x:c r="B322" s="2" t="str">
        <x:v>ROK</x:v>
      </x:c>
      <x:c r="C322" s="17" t="n">
        <x:v>439.2</x:v>
      </x:c>
      <x:c r="D322" s="17" t="n">
        <x:v>439.2</x:v>
      </x:c>
      <x:c r="E322" s="17" t="n">
        <x:v>0</x:v>
      </x:c>
      <x:c r="F322" s="36" t="n">
        <x:v>1</x:v>
      </x:c>
      <x:c r="G322" s="2" t="str">
        <x:v>XNYS</x:v>
      </x:c>
      <x:c r="H322" s="2" t="str">
        <x:v>XNYS</x:v>
      </x:c>
      <x:c r="I322" s="31" t="str">
        <x:f>IF(AND(G322=H322,C322&gt;0,ABS(C322-'Prices'!H322)&lt;=MAX(0.01,'Prices'!H322*0.000001)),"Match","Mismatch")</x:f>
        <x:v>Match</x:v>
      </x:c>
      <x:c r="J322" s="14" t="str">
        <x:v>data/bspi15/raw/marketstack/2026-10-28T11-29-17-918Z/constituents-v2.json</x:v>
      </x:c>
      <x:c r="K322" s="14" t="str"/>
      <x:c r="L322" s="38" t="n">
        <x:v>46323.47867960648</x:v>
      </x:c>
      <x:c r="M322" s="14" t="str"/>
    </x:row>
    <x:row r="323" ht="50" customHeight="1">
      <x:c r="A323" s="9" t="n">
        <x:v>46322</x:v>
      </x:c>
      <x:c r="B323" s="10" t="str">
        <x:v>SIE</x:v>
      </x:c>
      <x:c r="C323" s="33" t="n">
        <x:v>266.2</x:v>
      </x:c>
      <x:c r="D323" s="33" t="n">
        <x:v>266.2</x:v>
      </x:c>
      <x:c r="E323" s="33" t="n">
        <x:v>0</x:v>
      </x:c>
      <x:c r="F323" s="37" t="n">
        <x:v>1</x:v>
      </x:c>
      <x:c r="G323" s="10" t="str">
        <x:v>XETR</x:v>
      </x:c>
      <x:c r="H323" s="10" t="str">
        <x:v>XETR</x:v>
      </x:c>
      <x:c r="I323" s="32" t="str">
        <x:f>IF(AND(G323=H323,C323&gt;0,ABS(C323-'Prices'!H323)&lt;=MAX(0.01,'Prices'!H323*0.000001)),"Match","Mismatch")</x:f>
        <x:v>Match</x:v>
      </x:c>
      <x:c r="J323" s="16" t="str">
        <x:v>data/bspi15/raw/marketstack/2026-10-28T11-29-17-918Z/constituents-v2.json</x:v>
      </x:c>
      <x:c r="K323" s="16" t="str"/>
      <x:c r="L323" s="39" t="n">
        <x:v>46323.47867960648</x:v>
      </x:c>
      <x:c r="M323" s="16" t="str"/>
    </x:row>
    <x:row r="324" ht="50" customHeight="1">
      <x:c r="A324" s="8" t="n">
        <x:v>46322</x:v>
      </x:c>
      <x:c r="B324" s="2" t="str">
        <x:v>NXPI</x:v>
      </x:c>
      <x:c r="C324" s="17" t="n">
        <x:v>253.5</x:v>
      </x:c>
      <x:c r="D324" s="17" t="n">
        <x:v>253.5</x:v>
      </x:c>
      <x:c r="E324" s="17" t="n">
        <x:v>0</x:v>
      </x:c>
      <x:c r="F324" s="36" t="n">
        <x:v>1</x:v>
      </x:c>
      <x:c r="G324" s="2" t="str">
        <x:v>XNAS</x:v>
      </x:c>
      <x:c r="H324" s="2" t="str">
        <x:v>XNAS</x:v>
      </x:c>
      <x:c r="I324" s="31" t="str">
        <x:f>IF(AND(G324=H324,C324&gt;0,ABS(C324-'Prices'!H324)&lt;=MAX(0.01,'Prices'!H324*0.000001)),"Match","Mismatch")</x:f>
        <x:v>Match</x:v>
      </x:c>
      <x:c r="J324" s="14" t="str">
        <x:v>data/bspi15/raw/marketstack/2026-10-28T11-29-17-918Z/constituents-v2.json</x:v>
      </x:c>
      <x:c r="K324" s="14" t="str"/>
      <x:c r="L324" s="38" t="n">
        <x:v>46323.47867960648</x:v>
      </x:c>
      <x:c r="M324" s="14" t="str"/>
    </x:row>
    <x:row r="325" ht="50" customHeight="1">
      <x:c r="A325" s="9" t="n">
        <x:v>46322</x:v>
      </x:c>
      <x:c r="B325" s="10" t="str">
        <x:v>6383</x:v>
      </x:c>
      <x:c r="C325" s="33" t="n">
        <x:v>5216</x:v>
      </x:c>
      <x:c r="D325" s="33" t="n">
        <x:v>5216</x:v>
      </x:c>
      <x:c r="E325" s="33" t="n">
        <x:v>0</x:v>
      </x:c>
      <x:c r="F325" s="37" t="n">
        <x:v>1</x:v>
      </x:c>
      <x:c r="G325" s="10" t="str">
        <x:v>XJPX</x:v>
      </x:c>
      <x:c r="H325" s="10" t="str">
        <x:v>XJPX</x:v>
      </x:c>
      <x:c r="I325" s="32" t="str">
        <x:f>IF(AND(G325=H325,C325&gt;0,ABS(C325-'Prices'!H325)&lt;=MAX(0.01,'Prices'!H325*0.000001)),"Match","Mismatch")</x:f>
        <x:v>Match</x:v>
      </x:c>
      <x:c r="J325" s="16" t="str">
        <x:v>data/bspi15/raw/marketstack/2026-10-28T11-29-17-918Z/constituents-v2.json</x:v>
      </x:c>
      <x:c r="K325" s="16" t="str"/>
      <x:c r="L325" s="39" t="n">
        <x:v>46323.47867960648</x:v>
      </x:c>
      <x:c r="M325" s="16" t="str"/>
    </x:row>
    <x:row r="326" ht="50" customHeight="1">
      <x:c r="A326" s="8" t="n">
        <x:v>46322</x:v>
      </x:c>
      <x:c r="B326" s="2" t="str">
        <x:v>HEXA B</x:v>
      </x:c>
      <x:c r="C326" s="17" t="n">
        <x:v>109.65</x:v>
      </x:c>
      <x:c r="D326" s="17" t="n">
        <x:v>109.65</x:v>
      </x:c>
      <x:c r="E326" s="17" t="n">
        <x:v>0</x:v>
      </x:c>
      <x:c r="F326" s="36" t="n">
        <x:v>1</x:v>
      </x:c>
      <x:c r="G326" s="2" t="str">
        <x:v>XSTO</x:v>
      </x:c>
      <x:c r="H326" s="2" t="str">
        <x:v>XSTO</x:v>
      </x:c>
      <x:c r="I326" s="31" t="str">
        <x:f>IF(AND(G326=H326,C326&gt;0,ABS(C326-'Prices'!H326)&lt;=MAX(0.01,'Prices'!H326*0.000001)),"Match","Mismatch")</x:f>
        <x:v>Match</x:v>
      </x:c>
      <x:c r="J326" s="14" t="str">
        <x:v>data/bspi15/raw/marketstack/2026-10-28T11-29-17-918Z/constituents-v2.json</x:v>
      </x:c>
      <x:c r="K326" s="14" t="str"/>
      <x:c r="L326" s="38" t="n">
        <x:v>46323.47867960648</x:v>
      </x:c>
      <x:c r="M326" s="14" t="str"/>
    </x:row>
    <x:row r="327" ht="50" customHeight="1">
      <x:c r="A327" s="9" t="n">
        <x:v>46322</x:v>
      </x:c>
      <x:c r="B327" s="10" t="str">
        <x:v>S&amp;P 500</x:v>
      </x:c>
      <x:c r="C327" s="33" t="n">
        <x:v>7722.6</x:v>
      </x:c>
      <x:c r="D327" s="33" t="n">
        <x:v>7722.6</x:v>
      </x:c>
      <x:c r="E327" s="33" t="n">
        <x:v>0</x:v>
      </x:c>
      <x:c r="F327" s="37" t="n">
        <x:v>1</x:v>
      </x:c>
      <x:c r="G327" s="10" t="str">
        <x:v>INDX</x:v>
      </x:c>
      <x:c r="H327" s="10" t="str">
        <x:v>INDX</x:v>
      </x:c>
      <x:c r="I327" s="32" t="str">
        <x:f>IF(AND(G327=H327,C327&gt;0,ABS(C327-'Prices'!H327)&lt;=MAX(0.01,'Prices'!H327*0.000001)),"Match","Mismatch")</x:f>
        <x:v>Match</x:v>
      </x:c>
      <x:c r="J327" s="16" t="str">
        <x:v>data/bspi15/raw/marketstack/2026-10-28T11-29-17-918Z/benchmarks-v1.json</x:v>
      </x:c>
      <x:c r="K327" s="16" t="str"/>
      <x:c r="L327" s="39" t="n">
        <x:v>46323.47867960648</x:v>
      </x:c>
      <x:c r="M327" s="16" t="str"/>
    </x:row>
    <x:row r="328" ht="50" customHeight="1">
      <x:c r="A328" s="8" t="n">
        <x:v>46322</x:v>
      </x:c>
      <x:c r="B328" s="2" t="str">
        <x:v>Nasdaq Composite</x:v>
      </x:c>
      <x:c r="C328" s="17" t="n">
        <x:v>26477.8105</x:v>
      </x:c>
      <x:c r="D328" s="17" t="n">
        <x:v>26477.8105</x:v>
      </x:c>
      <x:c r="E328" s="17" t="n">
        <x:v>0</x:v>
      </x:c>
      <x:c r="F328" s="36" t="n">
        <x:v>1</x:v>
      </x:c>
      <x:c r="G328" s="2" t="str">
        <x:v>INDX</x:v>
      </x:c>
      <x:c r="H328" s="2" t="str">
        <x:v>INDX</x:v>
      </x:c>
      <x:c r="I328" s="31" t="str">
        <x:f>IF(AND(G328=H328,C328&gt;0,ABS(C328-'Prices'!H328)&lt;=MAX(0.01,'Prices'!H328*0.000001)),"Match","Mismatch")</x:f>
        <x:v>Match</x:v>
      </x:c>
      <x:c r="J328" s="14" t="str">
        <x:v>data/bspi15/raw/marketstack/2026-10-28T11-29-17-918Z/benchmarks-v1.json</x:v>
      </x:c>
      <x:c r="K328" s="14" t="str"/>
      <x:c r="L328" s="38" t="n">
        <x:v>46323.47867960648</x:v>
      </x:c>
      <x:c r="M328" s="14" t="str"/>
    </x:row>
    <x:row r="329" ht="50" customHeight="1">
      <x:c r="A329" s="9" t="n">
        <x:v>46323</x:v>
      </x:c>
      <x:c r="B329" s="10" t="str">
        <x:v>6954</x:v>
      </x:c>
      <x:c r="C329" s="33" t="n">
        <x:v>5908</x:v>
      </x:c>
      <x:c r="D329" s="33" t="n">
        <x:v>5908</x:v>
      </x:c>
      <x:c r="E329" s="33" t="n">
        <x:v>0</x:v>
      </x:c>
      <x:c r="F329" s="37" t="n">
        <x:v>1</x:v>
      </x:c>
      <x:c r="G329" s="10" t="str">
        <x:v>XJPX</x:v>
      </x:c>
      <x:c r="H329" s="10" t="str">
        <x:v>XJPX</x:v>
      </x:c>
      <x:c r="I329" s="32" t="str">
        <x:f>IF(AND(G329=H329,C329&gt;0,ABS(C329-'Prices'!H329)&lt;=MAX(0.01,'Prices'!H329*0.000001)),"Match","Mismatch")</x:f>
        <x:v>Match</x:v>
      </x:c>
      <x:c r="J329" s="16" t="str">
        <x:v>data/bspi15/raw/marketstack/2026-10-29T11-28-29-199Z/constituents-v2.json</x:v>
      </x:c>
      <x:c r="K329" s="16" t="str"/>
      <x:c r="L329" s="39" t="n">
        <x:v>46324.478115729165</x:v>
      </x:c>
      <x:c r="M329" s="16" t="str"/>
    </x:row>
    <x:row r="330" ht="50" customHeight="1">
      <x:c r="A330" s="8" t="n">
        <x:v>46323</x:v>
      </x:c>
      <x:c r="B330" s="2" t="str">
        <x:v>6506</x:v>
      </x:c>
      <x:c r="C330" s="17" t="n">
        <x:v>4186</x:v>
      </x:c>
      <x:c r="D330" s="17" t="n">
        <x:v>4186</x:v>
      </x:c>
      <x:c r="E330" s="17" t="n">
        <x:v>0</x:v>
      </x:c>
      <x:c r="F330" s="36" t="n">
        <x:v>1</x:v>
      </x:c>
      <x:c r="G330" s="2" t="str">
        <x:v>XJPX</x:v>
      </x:c>
      <x:c r="H330" s="2" t="str">
        <x:v>XJPX</x:v>
      </x:c>
      <x:c r="I330" s="31" t="str">
        <x:f>IF(AND(G330=H330,C330&gt;0,ABS(C330-'Prices'!H330)&lt;=MAX(0.01,'Prices'!H330*0.000001)),"Match","Mismatch")</x:f>
        <x:v>Match</x:v>
      </x:c>
      <x:c r="J330" s="14" t="str">
        <x:v>data/bspi15/raw/marketstack/2026-10-29T11-28-29-199Z/constituents-v2.json</x:v>
      </x:c>
      <x:c r="K330" s="14" t="str"/>
      <x:c r="L330" s="38" t="n">
        <x:v>46324.478115729165</x:v>
      </x:c>
      <x:c r="M330" s="14" t="str"/>
    </x:row>
    <x:row r="331" ht="50" customHeight="1">
      <x:c r="A331" s="9" t="n">
        <x:v>46323</x:v>
      </x:c>
      <x:c r="B331" s="15" t="str">
        <x:v>002747</x:v>
      </x:c>
      <x:c r="C331" s="33" t="n">
        <x:v>30.14</x:v>
      </x:c>
      <x:c r="D331" s="33" t="n">
        <x:v>30.14</x:v>
      </x:c>
      <x:c r="E331" s="33" t="n">
        <x:v>0</x:v>
      </x:c>
      <x:c r="F331" s="37" t="n">
        <x:v>1</x:v>
      </x:c>
      <x:c r="G331" s="10" t="str">
        <x:v>XSHE</x:v>
      </x:c>
      <x:c r="H331" s="10" t="str">
        <x:v>XSHE</x:v>
      </x:c>
      <x:c r="I331" s="32" t="str">
        <x:f>IF(AND(G331=H331,C331&gt;0,ABS(C331-'Prices'!H331)&lt;=MAX(0.01,'Prices'!H331*0.000001)),"Match","Mismatch")</x:f>
        <x:v>Match</x:v>
      </x:c>
      <x:c r="J331" s="16" t="str">
        <x:v>data/bspi15/raw/marketstack/2026-10-29T11-28-29-199Z/constituents-v2.json</x:v>
      </x:c>
      <x:c r="K331" s="16" t="str"/>
      <x:c r="L331" s="39" t="n">
        <x:v>46324.478115729165</x:v>
      </x:c>
      <x:c r="M331" s="16" t="str"/>
    </x:row>
    <x:row r="332" ht="50" customHeight="1">
      <x:c r="A332" s="8" t="n">
        <x:v>46323</x:v>
      </x:c>
      <x:c r="B332" s="2" t="str">
        <x:v>TER</x:v>
      </x:c>
      <x:c r="C332" s="17" t="n">
        <x:v>313.24</x:v>
      </x:c>
      <x:c r="D332" s="17" t="n">
        <x:v>313.24</x:v>
      </x:c>
      <x:c r="E332" s="17" t="n">
        <x:v>0</x:v>
      </x:c>
      <x:c r="F332" s="36" t="n">
        <x:v>1</x:v>
      </x:c>
      <x:c r="G332" s="2" t="str">
        <x:v>XNAS</x:v>
      </x:c>
      <x:c r="H332" s="2" t="str">
        <x:v>XNAS</x:v>
      </x:c>
      <x:c r="I332" s="31" t="str">
        <x:f>IF(AND(G332=H332,C332&gt;0,ABS(C332-'Prices'!H332)&lt;=MAX(0.01,'Prices'!H332*0.000001)),"Match","Mismatch")</x:f>
        <x:v>Match</x:v>
      </x:c>
      <x:c r="J332" s="14" t="str">
        <x:v>data/bspi15/raw/marketstack/2026-10-29T11-28-29-199Z/constituents-v2.json</x:v>
      </x:c>
      <x:c r="K332" s="14" t="str"/>
      <x:c r="L332" s="38" t="n">
        <x:v>46324.478115729165</x:v>
      </x:c>
      <x:c r="M332" s="14" t="str"/>
    </x:row>
    <x:row r="333" ht="50" customHeight="1">
      <x:c r="A333" s="9" t="n">
        <x:v>46323</x:v>
      </x:c>
      <x:c r="B333" s="10" t="str">
        <x:v>6268</x:v>
      </x:c>
      <x:c r="C333" s="33" t="n">
        <x:v>4420</x:v>
      </x:c>
      <x:c r="D333" s="33" t="n">
        <x:v>4420</x:v>
      </x:c>
      <x:c r="E333" s="33" t="n">
        <x:v>0</x:v>
      </x:c>
      <x:c r="F333" s="37" t="n">
        <x:v>1</x:v>
      </x:c>
      <x:c r="G333" s="10" t="str">
        <x:v>XJPX</x:v>
      </x:c>
      <x:c r="H333" s="10" t="str">
        <x:v>XJPX</x:v>
      </x:c>
      <x:c r="I333" s="32" t="str">
        <x:f>IF(AND(G333=H333,C333&gt;0,ABS(C333-'Prices'!H333)&lt;=MAX(0.01,'Prices'!H333*0.000001)),"Match","Mismatch")</x:f>
        <x:v>Match</x:v>
      </x:c>
      <x:c r="J333" s="16" t="str">
        <x:v>data/bspi15/raw/marketstack/2026-10-29T11-28-29-199Z/constituents-v2.json</x:v>
      </x:c>
      <x:c r="K333" s="16" t="str"/>
      <x:c r="L333" s="39" t="n">
        <x:v>46324.478115729165</x:v>
      </x:c>
      <x:c r="M333" s="16" t="str"/>
    </x:row>
    <x:row r="334" ht="50" customHeight="1">
      <x:c r="A334" s="8" t="n">
        <x:v>46323</x:v>
      </x:c>
      <x:c r="B334" s="2" t="str">
        <x:v>300124</x:v>
      </x:c>
      <x:c r="C334" s="17" t="n">
        <x:v>56.16</x:v>
      </x:c>
      <x:c r="D334" s="17" t="n">
        <x:v>56.16</x:v>
      </x:c>
      <x:c r="E334" s="17" t="n">
        <x:v>0</x:v>
      </x:c>
      <x:c r="F334" s="36" t="n">
        <x:v>1</x:v>
      </x:c>
      <x:c r="G334" s="2" t="str">
        <x:v>XSHE</x:v>
      </x:c>
      <x:c r="H334" s="2" t="str">
        <x:v>XSHE</x:v>
      </x:c>
      <x:c r="I334" s="31" t="str">
        <x:f>IF(AND(G334=H334,C334&gt;0,ABS(C334-'Prices'!H334)&lt;=MAX(0.01,'Prices'!H334*0.000001)),"Match","Mismatch")</x:f>
        <x:v>Match</x:v>
      </x:c>
      <x:c r="J334" s="14" t="str">
        <x:v>data/bspi15/raw/marketstack/2026-10-29T11-28-29-199Z/constituents-v2.json</x:v>
      </x:c>
      <x:c r="K334" s="14" t="str"/>
      <x:c r="L334" s="38" t="n">
        <x:v>46324.478115729165</x:v>
      </x:c>
      <x:c r="M334" s="14" t="str"/>
    </x:row>
    <x:row r="335" ht="50" customHeight="1">
      <x:c r="A335" s="9" t="n">
        <x:v>46323</x:v>
      </x:c>
      <x:c r="B335" s="10" t="str">
        <x:v>6861</x:v>
      </x:c>
      <x:c r="C335" s="33" t="n">
        <x:v>79190</x:v>
      </x:c>
      <x:c r="D335" s="33" t="n">
        <x:v>79190</x:v>
      </x:c>
      <x:c r="E335" s="33" t="n">
        <x:v>0</x:v>
      </x:c>
      <x:c r="F335" s="37" t="n">
        <x:v>1</x:v>
      </x:c>
      <x:c r="G335" s="10" t="str">
        <x:v>XJPX</x:v>
      </x:c>
      <x:c r="H335" s="10" t="str">
        <x:v>XJPX</x:v>
      </x:c>
      <x:c r="I335" s="32" t="str">
        <x:f>IF(AND(G335=H335,C335&gt;0,ABS(C335-'Prices'!H335)&lt;=MAX(0.01,'Prices'!H335*0.000001)),"Match","Mismatch")</x:f>
        <x:v>Match</x:v>
      </x:c>
      <x:c r="J335" s="16" t="str">
        <x:v>data/bspi15/raw/marketstack/2026-10-29T11-28-29-199Z/constituents-v2.json</x:v>
      </x:c>
      <x:c r="K335" s="16" t="str"/>
      <x:c r="L335" s="39" t="n">
        <x:v>46324.478115729165</x:v>
      </x:c>
      <x:c r="M335" s="16" t="str"/>
    </x:row>
    <x:row r="336" ht="50" customHeight="1">
      <x:c r="A336" s="8" t="n">
        <x:v>46323</x:v>
      </x:c>
      <x:c r="B336" s="2" t="str">
        <x:v>CGNX</x:v>
      </x:c>
      <x:c r="C336" s="17" t="n">
        <x:v>58.43</x:v>
      </x:c>
      <x:c r="D336" s="17" t="n">
        <x:v>58.43</x:v>
      </x:c>
      <x:c r="E336" s="17" t="n">
        <x:v>0</x:v>
      </x:c>
      <x:c r="F336" s="36" t="n">
        <x:v>1</x:v>
      </x:c>
      <x:c r="G336" s="2" t="str">
        <x:v>XNAS</x:v>
      </x:c>
      <x:c r="H336" s="2" t="str">
        <x:v>XNAS</x:v>
      </x:c>
      <x:c r="I336" s="31" t="str">
        <x:f>IF(AND(G336=H336,C336&gt;0,ABS(C336-'Prices'!H336)&lt;=MAX(0.01,'Prices'!H336*0.000001)),"Match","Mismatch")</x:f>
        <x:v>Match</x:v>
      </x:c>
      <x:c r="J336" s="14" t="str">
        <x:v>data/bspi15/raw/marketstack/2026-10-29T11-28-29-199Z/constituents-v2.json</x:v>
      </x:c>
      <x:c r="K336" s="14" t="str"/>
      <x:c r="L336" s="38" t="n">
        <x:v>46324.478115729165</x:v>
      </x:c>
      <x:c r="M336" s="14" t="str"/>
    </x:row>
    <x:row r="337" ht="50" customHeight="1">
      <x:c r="A337" s="9" t="n">
        <x:v>46323</x:v>
      </x:c>
      <x:c r="B337" s="10" t="str">
        <x:v>OUST</x:v>
      </x:c>
      <x:c r="C337" s="33" t="n">
        <x:v>33.61</x:v>
      </x:c>
      <x:c r="D337" s="33" t="n">
        <x:v>33.61</x:v>
      </x:c>
      <x:c r="E337" s="33" t="n">
        <x:v>0</x:v>
      </x:c>
      <x:c r="F337" s="37" t="n">
        <x:v>1</x:v>
      </x:c>
      <x:c r="G337" s="10" t="str">
        <x:v>XNAS</x:v>
      </x:c>
      <x:c r="H337" s="10" t="str">
        <x:v>XNYS</x:v>
      </x:c>
      <x:c r="I337" s="32" t="str">
        <x:f>IF(AND(OR(G337=H337,AND(B337="OUST",G337="XNAS",H337="XNYS",LEFT(M337,34)="ouster-marketstack-legacy-nyse-tag")),C337&gt;0,ABS(C337-'Prices'!H337)&lt;=MAX(0.01,'Prices'!H337*0.000001)),"Approved MIC exception","Mismatch")</x:f>
        <x:v>Approved MIC exception</x:v>
      </x:c>
      <x:c r="J337" s="16" t="str">
        <x:v>data/bspi15/raw/marketstack/2026-10-29T11-28-29-199Z/constituents-v2.json</x:v>
      </x:c>
      <x:c r="K337" s="16" t="str"/>
      <x:c r="L337" s="39" t="n">
        <x:v>46324.478115729165</x:v>
      </x:c>
      <x:c r="M337" s="16" t="str">
        <x:v>ouster-marketstack-legacy-nyse-tag; approved 2026-10-14; data/bspi15/provider-mic-exceptions.json</x:v>
      </x:c>
    </x:row>
    <x:row r="338" ht="50" customHeight="1">
      <x:c r="A338" s="8" t="n">
        <x:v>46323</x:v>
      </x:c>
      <x:c r="B338" s="2" t="str">
        <x:v>HSAI</x:v>
      </x:c>
      <x:c r="C338" s="17" t="n">
        <x:v>13.83</x:v>
      </x:c>
      <x:c r="D338" s="17" t="n">
        <x:v>13.83</x:v>
      </x:c>
      <x:c r="E338" s="17" t="n">
        <x:v>0</x:v>
      </x:c>
      <x:c r="F338" s="36" t="n">
        <x:v>1</x:v>
      </x:c>
      <x:c r="G338" s="2" t="str">
        <x:v>XNAS</x:v>
      </x:c>
      <x:c r="H338" s="2" t="str">
        <x:v>XNAS</x:v>
      </x:c>
      <x:c r="I338" s="31" t="str">
        <x:f>IF(AND(G338=H338,C338&gt;0,ABS(C338-'Prices'!H338)&lt;=MAX(0.01,'Prices'!H338*0.000001)),"Match","Mismatch")</x:f>
        <x:v>Match</x:v>
      </x:c>
      <x:c r="J338" s="14" t="str">
        <x:v>data/bspi15/raw/marketstack/2026-10-29T11-28-29-199Z/constituents-v2.json</x:v>
      </x:c>
      <x:c r="K338" s="14" t="str"/>
      <x:c r="L338" s="38" t="n">
        <x:v>46324.478115729165</x:v>
      </x:c>
      <x:c r="M338" s="14" t="str"/>
    </x:row>
    <x:row r="339" ht="50" customHeight="1">
      <x:c r="A339" s="9" t="n">
        <x:v>46323</x:v>
      </x:c>
      <x:c r="B339" s="10" t="str">
        <x:v>ROK</x:v>
      </x:c>
      <x:c r="C339" s="33" t="n">
        <x:v>443.81</x:v>
      </x:c>
      <x:c r="D339" s="33" t="n">
        <x:v>443.81</x:v>
      </x:c>
      <x:c r="E339" s="33" t="n">
        <x:v>0</x:v>
      </x:c>
      <x:c r="F339" s="37" t="n">
        <x:v>1</x:v>
      </x:c>
      <x:c r="G339" s="10" t="str">
        <x:v>XNYS</x:v>
      </x:c>
      <x:c r="H339" s="10" t="str">
        <x:v>XNYS</x:v>
      </x:c>
      <x:c r="I339" s="32" t="str">
        <x:f>IF(AND(G339=H339,C339&gt;0,ABS(C339-'Prices'!H339)&lt;=MAX(0.01,'Prices'!H339*0.000001)),"Match","Mismatch")</x:f>
        <x:v>Match</x:v>
      </x:c>
      <x:c r="J339" s="16" t="str">
        <x:v>data/bspi15/raw/marketstack/2026-10-29T11-28-29-199Z/constituents-v2.json</x:v>
      </x:c>
      <x:c r="K339" s="16" t="str"/>
      <x:c r="L339" s="39" t="n">
        <x:v>46324.478115729165</x:v>
      </x:c>
      <x:c r="M339" s="16" t="str"/>
    </x:row>
    <x:row r="340" ht="50" customHeight="1">
      <x:c r="A340" s="8" t="n">
        <x:v>46323</x:v>
      </x:c>
      <x:c r="B340" s="2" t="str">
        <x:v>SIE</x:v>
      </x:c>
      <x:c r="C340" s="17" t="n">
        <x:v>270.05</x:v>
      </x:c>
      <x:c r="D340" s="17" t="n">
        <x:v>270.05</x:v>
      </x:c>
      <x:c r="E340" s="17" t="n">
        <x:v>0</x:v>
      </x:c>
      <x:c r="F340" s="36" t="n">
        <x:v>1</x:v>
      </x:c>
      <x:c r="G340" s="2" t="str">
        <x:v>XETR</x:v>
      </x:c>
      <x:c r="H340" s="2" t="str">
        <x:v>XETR</x:v>
      </x:c>
      <x:c r="I340" s="31" t="str">
        <x:f>IF(AND(G340=H340,C340&gt;0,ABS(C340-'Prices'!H340)&lt;=MAX(0.01,'Prices'!H340*0.000001)),"Match","Mismatch")</x:f>
        <x:v>Match</x:v>
      </x:c>
      <x:c r="J340" s="14" t="str">
        <x:v>data/bspi15/raw/marketstack/2026-10-29T11-28-29-199Z/constituents-v2.json</x:v>
      </x:c>
      <x:c r="K340" s="14" t="str"/>
      <x:c r="L340" s="38" t="n">
        <x:v>46324.478115729165</x:v>
      </x:c>
      <x:c r="M340" s="14" t="str"/>
    </x:row>
    <x:row r="341" ht="50" customHeight="1">
      <x:c r="A341" s="9" t="n">
        <x:v>46323</x:v>
      </x:c>
      <x:c r="B341" s="10" t="str">
        <x:v>NXPI</x:v>
      </x:c>
      <x:c r="C341" s="33" t="n">
        <x:v>251.69</x:v>
      </x:c>
      <x:c r="D341" s="33" t="n">
        <x:v>251.69</x:v>
      </x:c>
      <x:c r="E341" s="33" t="n">
        <x:v>0</x:v>
      </x:c>
      <x:c r="F341" s="37" t="n">
        <x:v>1</x:v>
      </x:c>
      <x:c r="G341" s="10" t="str">
        <x:v>XNAS</x:v>
      </x:c>
      <x:c r="H341" s="10" t="str">
        <x:v>XNAS</x:v>
      </x:c>
      <x:c r="I341" s="32" t="str">
        <x:f>IF(AND(G341=H341,C341&gt;0,ABS(C341-'Prices'!H341)&lt;=MAX(0.01,'Prices'!H341*0.000001)),"Match","Mismatch")</x:f>
        <x:v>Match</x:v>
      </x:c>
      <x:c r="J341" s="16" t="str">
        <x:v>data/bspi15/raw/marketstack/2026-10-29T11-28-29-199Z/constituents-v2.json</x:v>
      </x:c>
      <x:c r="K341" s="16" t="str"/>
      <x:c r="L341" s="39" t="n">
        <x:v>46324.478115729165</x:v>
      </x:c>
      <x:c r="M341" s="16" t="str"/>
    </x:row>
    <x:row r="342" ht="50" customHeight="1">
      <x:c r="A342" s="8" t="n">
        <x:v>46323</x:v>
      </x:c>
      <x:c r="B342" s="2" t="str">
        <x:v>6383</x:v>
      </x:c>
      <x:c r="C342" s="17" t="n">
        <x:v>5441</x:v>
      </x:c>
      <x:c r="D342" s="17" t="n">
        <x:v>5441</x:v>
      </x:c>
      <x:c r="E342" s="17" t="n">
        <x:v>0</x:v>
      </x:c>
      <x:c r="F342" s="36" t="n">
        <x:v>1</x:v>
      </x:c>
      <x:c r="G342" s="2" t="str">
        <x:v>XJPX</x:v>
      </x:c>
      <x:c r="H342" s="2" t="str">
        <x:v>XJPX</x:v>
      </x:c>
      <x:c r="I342" s="31" t="str">
        <x:f>IF(AND(G342=H342,C342&gt;0,ABS(C342-'Prices'!H342)&lt;=MAX(0.01,'Prices'!H342*0.000001)),"Match","Mismatch")</x:f>
        <x:v>Match</x:v>
      </x:c>
      <x:c r="J342" s="14" t="str">
        <x:v>data/bspi15/raw/marketstack/2026-10-29T11-28-29-199Z/constituents-v2.json</x:v>
      </x:c>
      <x:c r="K342" s="14" t="str"/>
      <x:c r="L342" s="38" t="n">
        <x:v>46324.478115729165</x:v>
      </x:c>
      <x:c r="M342" s="14" t="str"/>
    </x:row>
    <x:row r="343" ht="50" customHeight="1">
      <x:c r="A343" s="9" t="n">
        <x:v>46323</x:v>
      </x:c>
      <x:c r="B343" s="10" t="str">
        <x:v>HEXA B</x:v>
      </x:c>
      <x:c r="C343" s="33" t="n">
        <x:v>109.45</x:v>
      </x:c>
      <x:c r="D343" s="33" t="n">
        <x:v>109.45</x:v>
      </x:c>
      <x:c r="E343" s="33" t="n">
        <x:v>0</x:v>
      </x:c>
      <x:c r="F343" s="37" t="n">
        <x:v>1</x:v>
      </x:c>
      <x:c r="G343" s="10" t="str">
        <x:v>XSTO</x:v>
      </x:c>
      <x:c r="H343" s="10" t="str">
        <x:v>XSTO</x:v>
      </x:c>
      <x:c r="I343" s="32" t="str">
        <x:f>IF(AND(G343=H343,C343&gt;0,ABS(C343-'Prices'!H343)&lt;=MAX(0.01,'Prices'!H343*0.000001)),"Match","Mismatch")</x:f>
        <x:v>Match</x:v>
      </x:c>
      <x:c r="J343" s="16" t="str">
        <x:v>data/bspi15/raw/marketstack/2026-10-29T11-28-29-199Z/constituents-v2.json</x:v>
      </x:c>
      <x:c r="K343" s="16" t="str"/>
      <x:c r="L343" s="39" t="n">
        <x:v>46324.478115729165</x:v>
      </x:c>
      <x:c r="M343" s="16" t="str"/>
    </x:row>
    <x:row r="344" ht="50" customHeight="1">
      <x:c r="A344" s="8" t="n">
        <x:v>46323</x:v>
      </x:c>
      <x:c r="B344" s="2" t="str">
        <x:v>S&amp;P 500</x:v>
      </x:c>
      <x:c r="C344" s="17" t="n">
        <x:v>7743.98</x:v>
      </x:c>
      <x:c r="D344" s="17" t="n">
        <x:v>7743.98</x:v>
      </x:c>
      <x:c r="E344" s="17" t="n">
        <x:v>0</x:v>
      </x:c>
      <x:c r="F344" s="36" t="n">
        <x:v>1</x:v>
      </x:c>
      <x:c r="G344" s="2" t="str">
        <x:v>INDX</x:v>
      </x:c>
      <x:c r="H344" s="2" t="str">
        <x:v>INDX</x:v>
      </x:c>
      <x:c r="I344" s="31" t="str">
        <x:f>IF(AND(G344=H344,C344&gt;0,ABS(C344-'Prices'!H344)&lt;=MAX(0.01,'Prices'!H344*0.000001)),"Match","Mismatch")</x:f>
        <x:v>Match</x:v>
      </x:c>
      <x:c r="J344" s="14" t="str">
        <x:v>data/bspi15/raw/marketstack/2026-10-29T11-28-29-199Z/benchmarks-v1.json</x:v>
      </x:c>
      <x:c r="K344" s="14" t="str"/>
      <x:c r="L344" s="38" t="n">
        <x:v>46324.478115729165</x:v>
      </x:c>
      <x:c r="M344" s="14" t="str"/>
    </x:row>
    <x:row r="345" ht="50" customHeight="1">
      <x:c r="A345" s="9" t="n">
        <x:v>46323</x:v>
      </x:c>
      <x:c r="B345" s="10" t="str">
        <x:v>Nasdaq Composite</x:v>
      </x:c>
      <x:c r="C345" s="33" t="n">
        <x:v>26549.8516</x:v>
      </x:c>
      <x:c r="D345" s="33" t="n">
        <x:v>26549.8516</x:v>
      </x:c>
      <x:c r="E345" s="33" t="n">
        <x:v>0</x:v>
      </x:c>
      <x:c r="F345" s="37" t="n">
        <x:v>1</x:v>
      </x:c>
      <x:c r="G345" s="10" t="str">
        <x:v>INDX</x:v>
      </x:c>
      <x:c r="H345" s="10" t="str">
        <x:v>INDX</x:v>
      </x:c>
      <x:c r="I345" s="32" t="str">
        <x:f>IF(AND(G345=H345,C345&gt;0,ABS(C345-'Prices'!H345)&lt;=MAX(0.01,'Prices'!H345*0.000001)),"Match","Mismatch")</x:f>
        <x:v>Match</x:v>
      </x:c>
      <x:c r="J345" s="16" t="str">
        <x:v>data/bspi15/raw/marketstack/2026-10-29T11-28-29-199Z/benchmarks-v1.json</x:v>
      </x:c>
      <x:c r="K345" s="16" t="str"/>
      <x:c r="L345" s="39" t="n">
        <x:v>46324.478115729165</x:v>
      </x:c>
      <x:c r="M345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0dc758ba6c7546e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9" t="n">
        <x:v>46321</x:v>
      </x:c>
      <x:c r="E295" s="18" t="n">
        <x:f>'Source Audit'!E295</x:f>
        <x:v>0</x:v>
      </x:c>
      <x:c r="F295" s="41" t="n">
        <x:f>'Source Audit'!F295</x:f>
        <x:v>1</x:v>
      </x:c>
      <x:c r="G295" s="12" t="str">
        <x:f>IF(AND(E295=0,F295=1,'Source Audit'!I295&lt;&gt;"Mismatch"),"No provider flag","Review required")</x:f>
        <x:v>No provider flag</x:v>
      </x:c>
      <x:c r="H295" s="10" t="str">
        <x:v>No continuity adjustment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8" t="n">
        <x:v>46321</x:v>
      </x:c>
      <x:c r="E296" s="19" t="n">
        <x:f>'Source Audit'!E296</x:f>
        <x:v>0</x:v>
      </x:c>
      <x:c r="F296" s="40" t="n">
        <x:f>'Source Audit'!F296</x:f>
        <x:v>1</x:v>
      </x:c>
      <x:c r="G296" s="11" t="str">
        <x:f>IF(AND(E296=0,F296=1,'Source Audit'!I296&lt;&gt;"Mismatch"),"No provider flag","Review required")</x:f>
        <x:v>No provider flag</x:v>
      </x:c>
      <x:c r="H296" s="2" t="str">
        <x:v>No continuity adjustment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9" t="n">
        <x:v>46321</x:v>
      </x:c>
      <x:c r="E297" s="18" t="n">
        <x:f>'Source Audit'!E297</x:f>
        <x:v>0</x:v>
      </x:c>
      <x:c r="F297" s="41" t="n">
        <x:f>'Source Audit'!F297</x:f>
        <x:v>1</x:v>
      </x:c>
      <x:c r="G297" s="12" t="str">
        <x:f>IF(AND(E297=0,F297=1,'Source Audit'!I297&lt;&gt;"Mismatch"),"No provider flag","Review required")</x:f>
        <x:v>No provider flag</x:v>
      </x:c>
      <x:c r="H297" s="10" t="str">
        <x:v>No continuity adjustment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8" t="n">
        <x:v>46321</x:v>
      </x:c>
      <x:c r="E298" s="19" t="n">
        <x:f>'Source Audit'!E298</x:f>
        <x:v>0</x:v>
      </x:c>
      <x:c r="F298" s="40" t="n">
        <x:f>'Source Audit'!F298</x:f>
        <x:v>1</x:v>
      </x:c>
      <x:c r="G298" s="11" t="str">
        <x:f>IF(AND(E298=0,F298=1,'Source Audit'!I298&lt;&gt;"Mismatch"),"No provider flag","Review required")</x:f>
        <x:v>No provider flag</x:v>
      </x:c>
      <x:c r="H298" s="2" t="str">
        <x:v>No continuity adjustment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9" t="n">
        <x:v>46321</x:v>
      </x:c>
      <x:c r="E299" s="18" t="n">
        <x:f>'Source Audit'!E299</x:f>
        <x:v>0</x:v>
      </x:c>
      <x:c r="F299" s="41" t="n">
        <x:f>'Source Audit'!F299</x:f>
        <x:v>1</x:v>
      </x:c>
      <x:c r="G299" s="12" t="str">
        <x:f>IF(AND(E299=0,F299=1,'Source Audit'!I299&lt;&gt;"Mismatch"),"No provider flag","Review required")</x:f>
        <x:v>No provider flag</x:v>
      </x:c>
      <x:c r="H299" s="10" t="str">
        <x:v>No continuity adjustment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8" t="n">
        <x:v>46321</x:v>
      </x:c>
      <x:c r="E300" s="19" t="n">
        <x:f>'Source Audit'!E300</x:f>
        <x:v>0</x:v>
      </x:c>
      <x:c r="F300" s="40" t="n">
        <x:f>'Source Audit'!F300</x:f>
        <x:v>1</x:v>
      </x:c>
      <x:c r="G300" s="11" t="str">
        <x:f>IF(AND(E300=0,F300=1,'Source Audit'!I300&lt;&gt;"Mismatch"),"No provider flag","Review required")</x:f>
        <x:v>No provider flag</x:v>
      </x:c>
      <x:c r="H300" s="2" t="str">
        <x:v>No continuity adjustment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9" t="n">
        <x:v>46321</x:v>
      </x:c>
      <x:c r="E301" s="18" t="n">
        <x:f>'Source Audit'!E301</x:f>
        <x:v>0</x:v>
      </x:c>
      <x:c r="F301" s="41" t="n">
        <x:f>'Source Audit'!F301</x:f>
        <x:v>1</x:v>
      </x:c>
      <x:c r="G301" s="12" t="str">
        <x:f>IF(AND(E301=0,F301=1,'Source Audit'!I301&lt;&gt;"Mismatch"),"No provider flag","Review required")</x:f>
        <x:v>No provider flag</x:v>
      </x:c>
      <x:c r="H301" s="10" t="str">
        <x:v>No continuity adjustment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8" t="n">
        <x:v>46321</x:v>
      </x:c>
      <x:c r="E302" s="19" t="n">
        <x:f>'Source Audit'!E302</x:f>
        <x:v>0</x:v>
      </x:c>
      <x:c r="F302" s="40" t="n">
        <x:f>'Source Audit'!F302</x:f>
        <x:v>1</x:v>
      </x:c>
      <x:c r="G302" s="11" t="str">
        <x:f>IF(AND(E302=0,F302=1,'Source Audit'!I302&lt;&gt;"Mismatch"),"No provider flag","Review required")</x:f>
        <x:v>No provider flag</x:v>
      </x:c>
      <x:c r="H302" s="2" t="str">
        <x:v>No continuity adjustment</x:v>
      </x:c>
    </x:row>
    <x:row r="303" ht="44" customHeight="1">
      <x:c r="A303" s="9" t="n">
        <x:v>46321</x:v>
      </x:c>
      <x:c r="B303" s="10" t="str">
        <x:v>Ouster</x:v>
      </x:c>
      <x:c r="C303" s="10" t="str">
        <x:v>OUST</x:v>
      </x:c>
      <x:c r="D303" s="9" t="n">
        <x:v>46321</x:v>
      </x:c>
      <x:c r="E303" s="18" t="n">
        <x:f>'Source Audit'!E303</x:f>
        <x:v>0</x:v>
      </x:c>
      <x:c r="F303" s="41" t="n">
        <x:f>'Source Audit'!F303</x:f>
        <x:v>1</x:v>
      </x:c>
      <x:c r="G303" s="12" t="str">
        <x:f>IF(AND(E303=0,F303=1,'Source Audit'!I303&lt;&gt;"Mismatch"),"No provider flag","Review required")</x:f>
        <x:v>No provider flag</x:v>
      </x:c>
      <x:c r="H303" s="16" t="str">
        <x:v>Approved provider MIC exception; no price adjustment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8" t="n">
        <x:v>46321</x:v>
      </x:c>
      <x:c r="E304" s="19" t="n">
        <x:f>'Source Audit'!E304</x:f>
        <x:v>0</x:v>
      </x:c>
      <x:c r="F304" s="40" t="n">
        <x:f>'Source Audit'!F304</x:f>
        <x:v>1</x:v>
      </x:c>
      <x:c r="G304" s="11" t="str">
        <x:f>IF(AND(E304=0,F304=1,'Source Audit'!I304&lt;&gt;"Mismatch"),"No provider flag","Review required")</x:f>
        <x:v>No provider flag</x:v>
      </x:c>
      <x:c r="H304" s="2" t="str">
        <x:v>No continuity adjustment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9" t="n">
        <x:v>46321</x:v>
      </x:c>
      <x:c r="E305" s="18" t="n">
        <x:f>'Source Audit'!E305</x:f>
        <x:v>0</x:v>
      </x:c>
      <x:c r="F305" s="41" t="n">
        <x:f>'Source Audit'!F305</x:f>
        <x:v>1</x:v>
      </x:c>
      <x:c r="G305" s="12" t="str">
        <x:f>IF(AND(E305=0,F305=1,'Source Audit'!I305&lt;&gt;"Mismatch"),"No provider flag","Review required")</x:f>
        <x:v>No provider flag</x:v>
      </x:c>
      <x:c r="H305" s="10" t="str">
        <x:v>No continuity adjustment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8" t="n">
        <x:v>46321</x:v>
      </x:c>
      <x:c r="E306" s="19" t="n">
        <x:f>'Source Audit'!E306</x:f>
        <x:v>0</x:v>
      </x:c>
      <x:c r="F306" s="40" t="n">
        <x:f>'Source Audit'!F306</x:f>
        <x:v>1</x:v>
      </x:c>
      <x:c r="G306" s="11" t="str">
        <x:f>IF(AND(E306=0,F306=1,'Source Audit'!I306&lt;&gt;"Mismatch"),"No provider flag","Review required")</x:f>
        <x:v>No provider flag</x:v>
      </x:c>
      <x:c r="H306" s="2" t="str">
        <x:v>No continuity adjustment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9" t="n">
        <x:v>46321</x:v>
      </x:c>
      <x:c r="E307" s="18" t="n">
        <x:f>'Source Audit'!E307</x:f>
        <x:v>0</x:v>
      </x:c>
      <x:c r="F307" s="41" t="n">
        <x:f>'Source Audit'!F307</x:f>
        <x:v>1</x:v>
      </x:c>
      <x:c r="G307" s="12" t="str">
        <x:f>IF(AND(E307=0,F307=1,'Source Audit'!I307&lt;&gt;"Mismatch"),"No provider flag","Review required")</x:f>
        <x:v>No provider flag</x:v>
      </x:c>
      <x:c r="H307" s="10" t="str">
        <x:v>No continuity adjustment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8" t="n">
        <x:v>46321</x:v>
      </x:c>
      <x:c r="E308" s="19" t="n">
        <x:f>'Source Audit'!E308</x:f>
        <x:v>0</x:v>
      </x:c>
      <x:c r="F308" s="40" t="n">
        <x:f>'Source Audit'!F308</x:f>
        <x:v>1</x:v>
      </x:c>
      <x:c r="G308" s="11" t="str">
        <x:f>IF(AND(E308=0,F308=1,'Source Audit'!I308&lt;&gt;"Mismatch"),"No provider flag","Review required")</x:f>
        <x:v>No provider flag</x:v>
      </x:c>
      <x:c r="H308" s="2" t="str">
        <x:v>No continuity adjustment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9" t="n">
        <x:v>46321</x:v>
      </x:c>
      <x:c r="E309" s="18" t="n">
        <x:f>'Source Audit'!E309</x:f>
        <x:v>0</x:v>
      </x:c>
      <x:c r="F309" s="41" t="n">
        <x:f>'Source Audit'!F309</x:f>
        <x:v>1</x:v>
      </x:c>
      <x:c r="G309" s="12" t="str">
        <x:f>IF(AND(E309=0,F309=1,'Source Audit'!I309&lt;&gt;"Mismatch"),"No provider flag","Review required")</x:f>
        <x:v>No provider flag</x:v>
      </x:c>
      <x:c r="H309" s="10" t="str">
        <x:v>No continuity adjustment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8" t="n">
        <x:v>46321</x:v>
      </x:c>
      <x:c r="E310" s="19" t="n">
        <x:f>'Source Audit'!E310</x:f>
        <x:v>0</x:v>
      </x:c>
      <x:c r="F310" s="40" t="n">
        <x:f>'Source Audit'!F310</x:f>
        <x:v>1</x:v>
      </x:c>
      <x:c r="G310" s="11" t="str">
        <x:f>IF(AND(E310=0,F310=1,'Source Audit'!I310&lt;&gt;"Mismatch"),"No provider flag","Review required")</x:f>
        <x:v>No provider flag</x:v>
      </x:c>
      <x:c r="H310" s="2" t="str">
        <x:v>No continuity adjustment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9" t="n">
        <x:v>46321</x:v>
      </x:c>
      <x:c r="E311" s="18" t="n">
        <x:f>'Source Audit'!E311</x:f>
        <x:v>0</x:v>
      </x:c>
      <x:c r="F311" s="41" t="n">
        <x:f>'Source Audit'!F311</x:f>
        <x:v>1</x:v>
      </x:c>
      <x:c r="G311" s="12" t="str">
        <x:f>IF(AND(E311=0,F311=1,'Source Audit'!I311&lt;&gt;"Mismatch"),"No provider flag","Review required")</x:f>
        <x:v>No provider flag</x:v>
      </x:c>
      <x:c r="H311" s="10" t="str">
        <x:v>No continuity adjustment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8" t="n">
        <x:v>46322</x:v>
      </x:c>
      <x:c r="E312" s="19" t="n">
        <x:f>'Source Audit'!E312</x:f>
        <x:v>0</x:v>
      </x:c>
      <x:c r="F312" s="40" t="n">
        <x:f>'Source Audit'!F312</x:f>
        <x:v>1</x:v>
      </x:c>
      <x:c r="G312" s="11" t="str">
        <x:f>IF(AND(E312=0,F312=1,'Source Audit'!I312&lt;&gt;"Mismatch"),"No provider flag","Review required")</x:f>
        <x:v>No provider flag</x:v>
      </x:c>
      <x:c r="H312" s="2" t="str">
        <x:v>No continuity adjustment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9" t="n">
        <x:v>46322</x:v>
      </x:c>
      <x:c r="E313" s="18" t="n">
        <x:f>'Source Audit'!E313</x:f>
        <x:v>0</x:v>
      </x:c>
      <x:c r="F313" s="41" t="n">
        <x:f>'Source Audit'!F313</x:f>
        <x:v>1</x:v>
      </x:c>
      <x:c r="G313" s="12" t="str">
        <x:f>IF(AND(E313=0,F313=1,'Source Audit'!I313&lt;&gt;"Mismatch"),"No provider flag","Review required")</x:f>
        <x:v>No provider flag</x:v>
      </x:c>
      <x:c r="H313" s="10" t="str">
        <x:v>No continuity adjustment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8" t="n">
        <x:v>46322</x:v>
      </x:c>
      <x:c r="E314" s="19" t="n">
        <x:f>'Source Audit'!E314</x:f>
        <x:v>0</x:v>
      </x:c>
      <x:c r="F314" s="40" t="n">
        <x:f>'Source Audit'!F314</x:f>
        <x:v>1</x:v>
      </x:c>
      <x:c r="G314" s="11" t="str">
        <x:f>IF(AND(E314=0,F314=1,'Source Audit'!I314&lt;&gt;"Mismatch"),"No provider flag","Review required")</x:f>
        <x:v>No provider flag</x:v>
      </x:c>
      <x:c r="H314" s="2" t="str">
        <x:v>No continuity adjustment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9" t="n">
        <x:v>46322</x:v>
      </x:c>
      <x:c r="E315" s="18" t="n">
        <x:f>'Source Audit'!E315</x:f>
        <x:v>0</x:v>
      </x:c>
      <x:c r="F315" s="41" t="n">
        <x:f>'Source Audit'!F315</x:f>
        <x:v>1</x:v>
      </x:c>
      <x:c r="G315" s="12" t="str">
        <x:f>IF(AND(E315=0,F315=1,'Source Audit'!I315&lt;&gt;"Mismatch"),"No provider flag","Review required")</x:f>
        <x:v>No provider flag</x:v>
      </x:c>
      <x:c r="H315" s="10" t="str">
        <x:v>No continuity adjustment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8" t="n">
        <x:v>46322</x:v>
      </x:c>
      <x:c r="E316" s="19" t="n">
        <x:f>'Source Audit'!E316</x:f>
        <x:v>0</x:v>
      </x:c>
      <x:c r="F316" s="40" t="n">
        <x:f>'Source Audit'!F316</x:f>
        <x:v>1</x:v>
      </x:c>
      <x:c r="G316" s="11" t="str">
        <x:f>IF(AND(E316=0,F316=1,'Source Audit'!I316&lt;&gt;"Mismatch"),"No provider flag","Review required")</x:f>
        <x:v>No provider flag</x:v>
      </x:c>
      <x:c r="H316" s="2" t="str">
        <x:v>No continuity adjustment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9" t="n">
        <x:v>46322</x:v>
      </x:c>
      <x:c r="E317" s="18" t="n">
        <x:f>'Source Audit'!E317</x:f>
        <x:v>0</x:v>
      </x:c>
      <x:c r="F317" s="41" t="n">
        <x:f>'Source Audit'!F317</x:f>
        <x:v>1</x:v>
      </x:c>
      <x:c r="G317" s="12" t="str">
        <x:f>IF(AND(E317=0,F317=1,'Source Audit'!I317&lt;&gt;"Mismatch"),"No provider flag","Review required")</x:f>
        <x:v>No provider flag</x:v>
      </x:c>
      <x:c r="H317" s="10" t="str">
        <x:v>No continuity adjustment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8" t="n">
        <x:v>46322</x:v>
      </x:c>
      <x:c r="E318" s="19" t="n">
        <x:f>'Source Audit'!E318</x:f>
        <x:v>0</x:v>
      </x:c>
      <x:c r="F318" s="40" t="n">
        <x:f>'Source Audit'!F318</x:f>
        <x:v>1</x:v>
      </x:c>
      <x:c r="G318" s="11" t="str">
        <x:f>IF(AND(E318=0,F318=1,'Source Audit'!I318&lt;&gt;"Mismatch"),"No provider flag","Review required")</x:f>
        <x:v>No provider flag</x:v>
      </x:c>
      <x:c r="H318" s="2" t="str">
        <x:v>No continuity adjustment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9" t="n">
        <x:v>46322</x:v>
      </x:c>
      <x:c r="E319" s="18" t="n">
        <x:f>'Source Audit'!E319</x:f>
        <x:v>0</x:v>
      </x:c>
      <x:c r="F319" s="41" t="n">
        <x:f>'Source Audit'!F319</x:f>
        <x:v>1</x:v>
      </x:c>
      <x:c r="G319" s="12" t="str">
        <x:f>IF(AND(E319=0,F319=1,'Source Audit'!I319&lt;&gt;"Mismatch"),"No provider flag","Review required")</x:f>
        <x:v>No provider flag</x:v>
      </x:c>
      <x:c r="H319" s="10" t="str">
        <x:v>No continuity adjustment</x:v>
      </x:c>
    </x:row>
    <x:row r="320" ht="44" customHeight="1">
      <x:c r="A320" s="8" t="n">
        <x:v>46322</x:v>
      </x:c>
      <x:c r="B320" s="2" t="str">
        <x:v>Ouster</x:v>
      </x:c>
      <x:c r="C320" s="2" t="str">
        <x:v>OUST</x:v>
      </x:c>
      <x:c r="D320" s="8" t="n">
        <x:v>46322</x:v>
      </x:c>
      <x:c r="E320" s="19" t="n">
        <x:f>'Source Audit'!E320</x:f>
        <x:v>0</x:v>
      </x:c>
      <x:c r="F320" s="40" t="n">
        <x:f>'Source Audit'!F320</x:f>
        <x:v>1</x:v>
      </x:c>
      <x:c r="G320" s="11" t="str">
        <x:f>IF(AND(E320=0,F320=1,'Source Audit'!I320&lt;&gt;"Mismatch"),"No provider flag","Review required")</x:f>
        <x:v>No provider flag</x:v>
      </x:c>
      <x:c r="H320" s="14" t="str">
        <x:v>Approved provider MIC exception; no price adjustment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9" t="n">
        <x:v>46322</x:v>
      </x:c>
      <x:c r="E321" s="18" t="n">
        <x:f>'Source Audit'!E321</x:f>
        <x:v>0</x:v>
      </x:c>
      <x:c r="F321" s="41" t="n">
        <x:f>'Source Audit'!F321</x:f>
        <x:v>1</x:v>
      </x:c>
      <x:c r="G321" s="12" t="str">
        <x:f>IF(AND(E321=0,F321=1,'Source Audit'!I321&lt;&gt;"Mismatch"),"No provider flag","Review required")</x:f>
        <x:v>No provider flag</x:v>
      </x:c>
      <x:c r="H321" s="10" t="str">
        <x:v>No continuity adjustment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8" t="n">
        <x:v>46322</x:v>
      </x:c>
      <x:c r="E322" s="19" t="n">
        <x:f>'Source Audit'!E322</x:f>
        <x:v>0</x:v>
      </x:c>
      <x:c r="F322" s="40" t="n">
        <x:f>'Source Audit'!F322</x:f>
        <x:v>1</x:v>
      </x:c>
      <x:c r="G322" s="11" t="str">
        <x:f>IF(AND(E322=0,F322=1,'Source Audit'!I322&lt;&gt;"Mismatch"),"No provider flag","Review required")</x:f>
        <x:v>No provider flag</x:v>
      </x:c>
      <x:c r="H322" s="2" t="str">
        <x:v>No continuity adjustment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9" t="n">
        <x:v>46322</x:v>
      </x:c>
      <x:c r="E323" s="18" t="n">
        <x:f>'Source Audit'!E323</x:f>
        <x:v>0</x:v>
      </x:c>
      <x:c r="F323" s="41" t="n">
        <x:f>'Source Audit'!F323</x:f>
        <x:v>1</x:v>
      </x:c>
      <x:c r="G323" s="12" t="str">
        <x:f>IF(AND(E323=0,F323=1,'Source Audit'!I323&lt;&gt;"Mismatch"),"No provider flag","Review required")</x:f>
        <x:v>No provider flag</x:v>
      </x:c>
      <x:c r="H323" s="10" t="str">
        <x:v>No continuity adjustment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8" t="n">
        <x:v>46322</x:v>
      </x:c>
      <x:c r="E324" s="19" t="n">
        <x:f>'Source Audit'!E324</x:f>
        <x:v>0</x:v>
      </x:c>
      <x:c r="F324" s="40" t="n">
        <x:f>'Source Audit'!F324</x:f>
        <x:v>1</x:v>
      </x:c>
      <x:c r="G324" s="11" t="str">
        <x:f>IF(AND(E324=0,F324=1,'Source Audit'!I324&lt;&gt;"Mismatch"),"No provider flag","Review required")</x:f>
        <x:v>No provider flag</x:v>
      </x:c>
      <x:c r="H324" s="2" t="str">
        <x:v>No continuity adjustment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9" t="n">
        <x:v>46322</x:v>
      </x:c>
      <x:c r="E325" s="18" t="n">
        <x:f>'Source Audit'!E325</x:f>
        <x:v>0</x:v>
      </x:c>
      <x:c r="F325" s="41" t="n">
        <x:f>'Source Audit'!F325</x:f>
        <x:v>1</x:v>
      </x:c>
      <x:c r="G325" s="12" t="str">
        <x:f>IF(AND(E325=0,F325=1,'Source Audit'!I325&lt;&gt;"Mismatch"),"No provider flag","Review required")</x:f>
        <x:v>No provider flag</x:v>
      </x:c>
      <x:c r="H325" s="10" t="str">
        <x:v>No continuity adjustment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8" t="n">
        <x:v>46322</x:v>
      </x:c>
      <x:c r="E326" s="19" t="n">
        <x:f>'Source Audit'!E326</x:f>
        <x:v>0</x:v>
      </x:c>
      <x:c r="F326" s="40" t="n">
        <x:f>'Source Audit'!F326</x:f>
        <x:v>1</x:v>
      </x:c>
      <x:c r="G326" s="11" t="str">
        <x:f>IF(AND(E326=0,F326=1,'Source Audit'!I326&lt;&gt;"Mismatch"),"No provider flag","Review required")</x:f>
        <x:v>No provider flag</x:v>
      </x:c>
      <x:c r="H326" s="2" t="str">
        <x:v>No continuity adjustment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9" t="n">
        <x:v>46322</x:v>
      </x:c>
      <x:c r="E327" s="18" t="n">
        <x:f>'Source Audit'!E327</x:f>
        <x:v>0</x:v>
      </x:c>
      <x:c r="F327" s="41" t="n">
        <x:f>'Source Audit'!F327</x:f>
        <x:v>1</x:v>
      </x:c>
      <x:c r="G327" s="12" t="str">
        <x:f>IF(AND(E327=0,F327=1,'Source Audit'!I327&lt;&gt;"Mismatch"),"No provider flag","Review required")</x:f>
        <x:v>No provider flag</x:v>
      </x:c>
      <x:c r="H327" s="10" t="str">
        <x:v>No continuity adjustment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8" t="n">
        <x:v>46322</x:v>
      </x:c>
      <x:c r="E328" s="19" t="n">
        <x:f>'Source Audit'!E328</x:f>
        <x:v>0</x:v>
      </x:c>
      <x:c r="F328" s="40" t="n">
        <x:f>'Source Audit'!F328</x:f>
        <x:v>1</x:v>
      </x:c>
      <x:c r="G328" s="11" t="str">
        <x:f>IF(AND(E328=0,F328=1,'Source Audit'!I328&lt;&gt;"Mismatch"),"No provider flag","Review required")</x:f>
        <x:v>No provider flag</x:v>
      </x:c>
      <x:c r="H328" s="2" t="str">
        <x:v>No continuity adjustment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9" t="n">
        <x:v>46323</x:v>
      </x:c>
      <x:c r="E329" s="18" t="n">
        <x:f>'Source Audit'!E329</x:f>
        <x:v>0</x:v>
      </x:c>
      <x:c r="F329" s="41" t="n">
        <x:f>'Source Audit'!F329</x:f>
        <x:v>1</x:v>
      </x:c>
      <x:c r="G329" s="12" t="str">
        <x:f>IF(AND(E329=0,F329=1,'Source Audit'!I329&lt;&gt;"Mismatch"),"No provider flag","Review required")</x:f>
        <x:v>No provider flag</x:v>
      </x:c>
      <x:c r="H329" s="10" t="str">
        <x:v>No continuity adjustment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8" t="n">
        <x:v>46323</x:v>
      </x:c>
      <x:c r="E330" s="19" t="n">
        <x:f>'Source Audit'!E330</x:f>
        <x:v>0</x:v>
      </x:c>
      <x:c r="F330" s="40" t="n">
        <x:f>'Source Audit'!F330</x:f>
        <x:v>1</x:v>
      </x:c>
      <x:c r="G330" s="11" t="str">
        <x:f>IF(AND(E330=0,F330=1,'Source Audit'!I330&lt;&gt;"Mismatch"),"No provider flag","Review required")</x:f>
        <x:v>No provider flag</x:v>
      </x:c>
      <x:c r="H330" s="2" t="str">
        <x:v>No continuity adjustment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9" t="n">
        <x:v>46323</x:v>
      </x:c>
      <x:c r="E331" s="18" t="n">
        <x:f>'Source Audit'!E331</x:f>
        <x:v>0</x:v>
      </x:c>
      <x:c r="F331" s="41" t="n">
        <x:f>'Source Audit'!F331</x:f>
        <x:v>1</x:v>
      </x:c>
      <x:c r="G331" s="12" t="str">
        <x:f>IF(AND(E331=0,F331=1,'Source Audit'!I331&lt;&gt;"Mismatch"),"No provider flag","Review required")</x:f>
        <x:v>No provider flag</x:v>
      </x:c>
      <x:c r="H331" s="10" t="str">
        <x:v>No continuity adjustment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8" t="n">
        <x:v>46323</x:v>
      </x:c>
      <x:c r="E332" s="19" t="n">
        <x:f>'Source Audit'!E332</x:f>
        <x:v>0</x:v>
      </x:c>
      <x:c r="F332" s="40" t="n">
        <x:f>'Source Audit'!F332</x:f>
        <x:v>1</x:v>
      </x:c>
      <x:c r="G332" s="11" t="str">
        <x:f>IF(AND(E332=0,F332=1,'Source Audit'!I332&lt;&gt;"Mismatch"),"No provider flag","Review required")</x:f>
        <x:v>No provider flag</x:v>
      </x:c>
      <x:c r="H332" s="2" t="str">
        <x:v>No continuity adjustment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9" t="n">
        <x:v>46323</x:v>
      </x:c>
      <x:c r="E333" s="18" t="n">
        <x:f>'Source Audit'!E333</x:f>
        <x:v>0</x:v>
      </x:c>
      <x:c r="F333" s="41" t="n">
        <x:f>'Source Audit'!F333</x:f>
        <x:v>1</x:v>
      </x:c>
      <x:c r="G333" s="12" t="str">
        <x:f>IF(AND(E333=0,F333=1,'Source Audit'!I333&lt;&gt;"Mismatch"),"No provider flag","Review required")</x:f>
        <x:v>No provider flag</x:v>
      </x:c>
      <x:c r="H333" s="10" t="str">
        <x:v>No continuity adjustment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8" t="n">
        <x:v>46323</x:v>
      </x:c>
      <x:c r="E334" s="19" t="n">
        <x:f>'Source Audit'!E334</x:f>
        <x:v>0</x:v>
      </x:c>
      <x:c r="F334" s="40" t="n">
        <x:f>'Source Audit'!F334</x:f>
        <x:v>1</x:v>
      </x:c>
      <x:c r="G334" s="11" t="str">
        <x:f>IF(AND(E334=0,F334=1,'Source Audit'!I334&lt;&gt;"Mismatch"),"No provider flag","Review required")</x:f>
        <x:v>No provider flag</x:v>
      </x:c>
      <x:c r="H334" s="2" t="str">
        <x:v>No continuity adjustment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9" t="n">
        <x:v>46323</x:v>
      </x:c>
      <x:c r="E335" s="18" t="n">
        <x:f>'Source Audit'!E335</x:f>
        <x:v>0</x:v>
      </x:c>
      <x:c r="F335" s="41" t="n">
        <x:f>'Source Audit'!F335</x:f>
        <x:v>1</x:v>
      </x:c>
      <x:c r="G335" s="12" t="str">
        <x:f>IF(AND(E335=0,F335=1,'Source Audit'!I335&lt;&gt;"Mismatch"),"No provider flag","Review required")</x:f>
        <x:v>No provider flag</x:v>
      </x:c>
      <x:c r="H335" s="10" t="str">
        <x:v>No continuity adjustment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8" t="n">
        <x:v>46323</x:v>
      </x:c>
      <x:c r="E336" s="19" t="n">
        <x:f>'Source Audit'!E336</x:f>
        <x:v>0</x:v>
      </x:c>
      <x:c r="F336" s="40" t="n">
        <x:f>'Source Audit'!F336</x:f>
        <x:v>1</x:v>
      </x:c>
      <x:c r="G336" s="11" t="str">
        <x:f>IF(AND(E336=0,F336=1,'Source Audit'!I336&lt;&gt;"Mismatch"),"No provider flag","Review required")</x:f>
        <x:v>No provider flag</x:v>
      </x:c>
      <x:c r="H336" s="2" t="str">
        <x:v>No continuity adjustment</x:v>
      </x:c>
    </x:row>
    <x:row r="337" ht="44" customHeight="1">
      <x:c r="A337" s="9" t="n">
        <x:v>46323</x:v>
      </x:c>
      <x:c r="B337" s="10" t="str">
        <x:v>Ouster</x:v>
      </x:c>
      <x:c r="C337" s="10" t="str">
        <x:v>OUST</x:v>
      </x:c>
      <x:c r="D337" s="9" t="n">
        <x:v>46323</x:v>
      </x:c>
      <x:c r="E337" s="18" t="n">
        <x:f>'Source Audit'!E337</x:f>
        <x:v>0</x:v>
      </x:c>
      <x:c r="F337" s="41" t="n">
        <x:f>'Source Audit'!F337</x:f>
        <x:v>1</x:v>
      </x:c>
      <x:c r="G337" s="12" t="str">
        <x:f>IF(AND(E337=0,F337=1,'Source Audit'!I337&lt;&gt;"Mismatch"),"No provider flag","Review required")</x:f>
        <x:v>No provider flag</x:v>
      </x:c>
      <x:c r="H337" s="16" t="str">
        <x:v>Approved provider MIC exception; no price adjustment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8" t="n">
        <x:v>46323</x:v>
      </x:c>
      <x:c r="E338" s="19" t="n">
        <x:f>'Source Audit'!E338</x:f>
        <x:v>0</x:v>
      </x:c>
      <x:c r="F338" s="40" t="n">
        <x:f>'Source Audit'!F338</x:f>
        <x:v>1</x:v>
      </x:c>
      <x:c r="G338" s="11" t="str">
        <x:f>IF(AND(E338=0,F338=1,'Source Audit'!I338&lt;&gt;"Mismatch"),"No provider flag","Review required")</x:f>
        <x:v>No provider flag</x:v>
      </x:c>
      <x:c r="H338" s="2" t="str">
        <x:v>No continuity adjustment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9" t="n">
        <x:v>46323</x:v>
      </x:c>
      <x:c r="E339" s="18" t="n">
        <x:f>'Source Audit'!E339</x:f>
        <x:v>0</x:v>
      </x:c>
      <x:c r="F339" s="41" t="n">
        <x:f>'Source Audit'!F339</x:f>
        <x:v>1</x:v>
      </x:c>
      <x:c r="G339" s="12" t="str">
        <x:f>IF(AND(E339=0,F339=1,'Source Audit'!I339&lt;&gt;"Mismatch"),"No provider flag","Review required")</x:f>
        <x:v>No provider flag</x:v>
      </x:c>
      <x:c r="H339" s="10" t="str">
        <x:v>No continuity adjustment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8" t="n">
        <x:v>46323</x:v>
      </x:c>
      <x:c r="E340" s="19" t="n">
        <x:f>'Source Audit'!E340</x:f>
        <x:v>0</x:v>
      </x:c>
      <x:c r="F340" s="40" t="n">
        <x:f>'Source Audit'!F340</x:f>
        <x:v>1</x:v>
      </x:c>
      <x:c r="G340" s="11" t="str">
        <x:f>IF(AND(E340=0,F340=1,'Source Audit'!I340&lt;&gt;"Mismatch"),"No provider flag","Review required")</x:f>
        <x:v>No provider flag</x:v>
      </x:c>
      <x:c r="H340" s="2" t="str">
        <x:v>No continuity adjustment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9" t="n">
        <x:v>46323</x:v>
      </x:c>
      <x:c r="E341" s="18" t="n">
        <x:f>'Source Audit'!E341</x:f>
        <x:v>0</x:v>
      </x:c>
      <x:c r="F341" s="41" t="n">
        <x:f>'Source Audit'!F341</x:f>
        <x:v>1</x:v>
      </x:c>
      <x:c r="G341" s="12" t="str">
        <x:f>IF(AND(E341=0,F341=1,'Source Audit'!I341&lt;&gt;"Mismatch"),"No provider flag","Review required")</x:f>
        <x:v>No provider flag</x:v>
      </x:c>
      <x:c r="H341" s="10" t="str">
        <x:v>No continuity adjustment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8" t="n">
        <x:v>46323</x:v>
      </x:c>
      <x:c r="E342" s="19" t="n">
        <x:f>'Source Audit'!E342</x:f>
        <x:v>0</x:v>
      </x:c>
      <x:c r="F342" s="40" t="n">
        <x:f>'Source Audit'!F342</x:f>
        <x:v>1</x:v>
      </x:c>
      <x:c r="G342" s="11" t="str">
        <x:f>IF(AND(E342=0,F342=1,'Source Audit'!I342&lt;&gt;"Mismatch"),"No provider flag","Review required")</x:f>
        <x:v>No provider flag</x:v>
      </x:c>
      <x:c r="H342" s="2" t="str">
        <x:v>No continuity adjustment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9" t="n">
        <x:v>46323</x:v>
      </x:c>
      <x:c r="E343" s="18" t="n">
        <x:f>'Source Audit'!E343</x:f>
        <x:v>0</x:v>
      </x:c>
      <x:c r="F343" s="41" t="n">
        <x:f>'Source Audit'!F343</x:f>
        <x:v>1</x:v>
      </x:c>
      <x:c r="G343" s="12" t="str">
        <x:f>IF(AND(E343=0,F343=1,'Source Audit'!I343&lt;&gt;"Mismatch"),"No provider flag","Review required")</x:f>
        <x:v>No provider flag</x:v>
      </x:c>
      <x:c r="H343" s="10" t="str">
        <x:v>No continuity adjustment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8" t="n">
        <x:v>46323</x:v>
      </x:c>
      <x:c r="E344" s="19" t="n">
        <x:f>'Source Audit'!E344</x:f>
        <x:v>0</x:v>
      </x:c>
      <x:c r="F344" s="40" t="n">
        <x:f>'Source Audit'!F344</x:f>
        <x:v>1</x:v>
      </x:c>
      <x:c r="G344" s="11" t="str">
        <x:f>IF(AND(E344=0,F344=1,'Source Audit'!I344&lt;&gt;"Mismatch"),"No provider flag","Review required")</x:f>
        <x:v>No provider flag</x:v>
      </x:c>
      <x:c r="H344" s="2" t="str">
        <x:v>No continuity adjustment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9" t="n">
        <x:v>46323</x:v>
      </x:c>
      <x:c r="E345" s="18" t="n">
        <x:f>'Source Audit'!E345</x:f>
        <x:v>0</x:v>
      </x:c>
      <x:c r="F345" s="41" t="n">
        <x:f>'Source Audit'!F345</x:f>
        <x:v>1</x:v>
      </x:c>
      <x:c r="G345" s="12" t="str">
        <x:f>IF(AND(E345=0,F345=1,'Source Audit'!I345&lt;&gt;"Mismatch"),"No provider flag","Review required")</x:f>
        <x:v>No provider flag</x:v>
      </x:c>
      <x:c r="H345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7a0ac8ad6f454596"/>
  </x:tableParts>
</x:worksheet>
</file>